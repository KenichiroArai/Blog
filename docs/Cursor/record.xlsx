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/>
  <mc:AlternateContent xmlns:mc="http://schemas.openxmlformats.org/markup-compatibility/2006">
    <mc:Choice Requires="x15">
      <x15ac:absPath xmlns:x15ac="http://schemas.microsoft.com/office/spreadsheetml/2010/11/ac" url="C:\everyday-use\Blog\docs\Cursor\"/>
    </mc:Choice>
  </mc:AlternateContent>
  <xr:revisionPtr revIDLastSave="0" documentId="13_ncr:1_{80017ED6-5EEF-4933-BF81-2091CDE1330E}" xr6:coauthVersionLast="47" xr6:coauthVersionMax="47" xr10:uidLastSave="{00000000-0000-0000-0000-000000000000}"/>
  <bookViews>
    <workbookView xWindow="14360" yWindow="0" windowWidth="24130" windowHeight="20970" xr2:uid="{00000000-000D-0000-FFFF-FFFF00000000}"/>
  </bookViews>
  <sheets>
    <sheet name="Cursor Usageの記録" sheetId="1" r:id="rId1"/>
    <sheet name="Summary" sheetId="3" r:id="rId2"/>
    <sheet name="Included Usage Summary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68" i="1" l="1"/>
  <c r="B268" i="1"/>
  <c r="C268" i="1"/>
  <c r="D268" i="1"/>
  <c r="A267" i="1"/>
  <c r="B267" i="1"/>
  <c r="C267" i="1"/>
  <c r="D267" i="1"/>
  <c r="A266" i="1"/>
  <c r="B266" i="1"/>
  <c r="C266" i="1"/>
  <c r="D266" i="1"/>
  <c r="A265" i="1"/>
  <c r="B265" i="1"/>
  <c r="C265" i="1"/>
  <c r="D265" i="1"/>
  <c r="A264" i="1"/>
  <c r="B264" i="1"/>
  <c r="C264" i="1"/>
  <c r="D264" i="1"/>
  <c r="A263" i="1"/>
  <c r="B263" i="1"/>
  <c r="C263" i="1"/>
  <c r="D263" i="1"/>
  <c r="A262" i="1"/>
  <c r="B262" i="1"/>
  <c r="C262" i="1"/>
  <c r="D262" i="1"/>
  <c r="A261" i="1"/>
  <c r="B261" i="1"/>
  <c r="C261" i="1"/>
  <c r="D261" i="1"/>
  <c r="A260" i="1"/>
  <c r="B260" i="1"/>
  <c r="C260" i="1"/>
  <c r="D260" i="1"/>
  <c r="A259" i="1"/>
  <c r="B259" i="1"/>
  <c r="C259" i="1"/>
  <c r="D259" i="1"/>
  <c r="A258" i="1"/>
  <c r="B258" i="1"/>
  <c r="C258" i="1"/>
  <c r="D258" i="1"/>
  <c r="A257" i="1"/>
  <c r="B257" i="1"/>
  <c r="C257" i="1"/>
  <c r="D257" i="1"/>
  <c r="A256" i="1"/>
  <c r="B256" i="1"/>
  <c r="C256" i="1"/>
  <c r="D256" i="1"/>
  <c r="A255" i="1"/>
  <c r="B255" i="1"/>
  <c r="C255" i="1"/>
  <c r="D255" i="1"/>
  <c r="C249" i="1"/>
  <c r="C250" i="1" s="1"/>
  <c r="C251" i="1" s="1"/>
  <c r="C252" i="1" s="1"/>
  <c r="C253" i="1" s="1"/>
  <c r="C254" i="1" s="1"/>
  <c r="C248" i="1"/>
  <c r="A254" i="1"/>
  <c r="B254" i="1"/>
  <c r="D254" i="1"/>
  <c r="A253" i="1"/>
  <c r="B253" i="1"/>
  <c r="D253" i="1"/>
  <c r="A252" i="1"/>
  <c r="B252" i="1"/>
  <c r="D252" i="1"/>
  <c r="A251" i="1"/>
  <c r="B251" i="1"/>
  <c r="D251" i="1"/>
  <c r="A250" i="1"/>
  <c r="B250" i="1"/>
  <c r="D250" i="1"/>
  <c r="A249" i="1"/>
  <c r="B249" i="1"/>
  <c r="D249" i="1"/>
  <c r="A248" i="1"/>
  <c r="B248" i="1"/>
  <c r="D248" i="1"/>
  <c r="A247" i="1"/>
  <c r="B247" i="1"/>
  <c r="H231" i="3"/>
  <c r="G231" i="3"/>
  <c r="F231" i="3"/>
  <c r="E231" i="3"/>
  <c r="D231" i="3"/>
  <c r="C231" i="3"/>
  <c r="A246" i="1"/>
  <c r="B246" i="1"/>
  <c r="C246" i="1"/>
  <c r="D246" i="1"/>
  <c r="H228" i="3"/>
  <c r="G228" i="3"/>
  <c r="F228" i="3"/>
  <c r="E228" i="3"/>
  <c r="D228" i="3"/>
  <c r="C228" i="3"/>
  <c r="A245" i="1"/>
  <c r="B245" i="1"/>
  <c r="C245" i="1"/>
  <c r="D245" i="1"/>
  <c r="H222" i="3"/>
  <c r="H225" i="3"/>
  <c r="G225" i="3"/>
  <c r="F225" i="3"/>
  <c r="E225" i="3"/>
  <c r="D225" i="3"/>
  <c r="C225" i="3"/>
  <c r="A244" i="1"/>
  <c r="B244" i="1"/>
  <c r="C244" i="1"/>
  <c r="D244" i="1"/>
  <c r="G222" i="3"/>
  <c r="F222" i="3"/>
  <c r="E222" i="3"/>
  <c r="D222" i="3"/>
  <c r="C222" i="3"/>
  <c r="A243" i="1"/>
  <c r="B243" i="1"/>
  <c r="C243" i="1"/>
  <c r="D243" i="1"/>
  <c r="G219" i="3"/>
  <c r="F219" i="3"/>
  <c r="E219" i="3"/>
  <c r="D219" i="3"/>
  <c r="C219" i="3"/>
  <c r="A242" i="1"/>
  <c r="B242" i="1"/>
  <c r="C242" i="1"/>
  <c r="D242" i="1"/>
  <c r="G216" i="3"/>
  <c r="F216" i="3"/>
  <c r="E216" i="3"/>
  <c r="D216" i="3"/>
  <c r="C216" i="3"/>
  <c r="A241" i="1"/>
  <c r="B241" i="1"/>
  <c r="C241" i="1"/>
  <c r="D241" i="1"/>
  <c r="G213" i="3"/>
  <c r="F213" i="3"/>
  <c r="E213" i="3"/>
  <c r="D213" i="3"/>
  <c r="C213" i="3"/>
  <c r="H211" i="3"/>
  <c r="A240" i="1"/>
  <c r="B240" i="1"/>
  <c r="C240" i="1"/>
  <c r="D240" i="1"/>
  <c r="G210" i="3"/>
  <c r="F210" i="3"/>
  <c r="E210" i="3"/>
  <c r="D210" i="3"/>
  <c r="C210" i="3"/>
  <c r="H208" i="3"/>
  <c r="A239" i="1"/>
  <c r="B239" i="1"/>
  <c r="C239" i="1"/>
  <c r="D239" i="1"/>
  <c r="G207" i="3"/>
  <c r="F207" i="3"/>
  <c r="E207" i="3"/>
  <c r="D207" i="3"/>
  <c r="C207" i="3"/>
  <c r="H205" i="3"/>
  <c r="A238" i="1"/>
  <c r="B238" i="1"/>
  <c r="C238" i="1"/>
  <c r="D238" i="1"/>
  <c r="G204" i="3"/>
  <c r="F204" i="3"/>
  <c r="E204" i="3"/>
  <c r="D204" i="3"/>
  <c r="C204" i="3"/>
  <c r="H202" i="3"/>
  <c r="A237" i="1"/>
  <c r="B237" i="1"/>
  <c r="C237" i="1"/>
  <c r="D237" i="1"/>
  <c r="G201" i="3"/>
  <c r="F201" i="3"/>
  <c r="E201" i="3"/>
  <c r="D201" i="3"/>
  <c r="C201" i="3"/>
  <c r="H199" i="3"/>
  <c r="A236" i="1"/>
  <c r="B236" i="1"/>
  <c r="C236" i="1"/>
  <c r="D236" i="1"/>
  <c r="H196" i="3"/>
  <c r="G198" i="3"/>
  <c r="F198" i="3"/>
  <c r="E198" i="3"/>
  <c r="D198" i="3"/>
  <c r="C198" i="3"/>
  <c r="A235" i="1"/>
  <c r="B235" i="1"/>
  <c r="C235" i="1"/>
  <c r="D235" i="1"/>
  <c r="A234" i="1"/>
  <c r="B234" i="1"/>
  <c r="C234" i="1"/>
  <c r="D234" i="1"/>
  <c r="A233" i="1"/>
  <c r="B233" i="1"/>
  <c r="C233" i="1"/>
  <c r="D233" i="1"/>
  <c r="A232" i="1"/>
  <c r="B232" i="1"/>
  <c r="C232" i="1"/>
  <c r="D232" i="1"/>
  <c r="A231" i="1"/>
  <c r="B231" i="1"/>
  <c r="C231" i="1"/>
  <c r="D231" i="1"/>
  <c r="A230" i="1"/>
  <c r="B230" i="1"/>
  <c r="C230" i="1"/>
  <c r="D230" i="1"/>
  <c r="A229" i="1"/>
  <c r="B229" i="1"/>
  <c r="C229" i="1"/>
  <c r="D229" i="1"/>
  <c r="A228" i="1"/>
  <c r="B228" i="1"/>
  <c r="C228" i="1"/>
  <c r="D228" i="1"/>
  <c r="A227" i="1"/>
  <c r="B227" i="1"/>
  <c r="C227" i="1"/>
  <c r="D227" i="1"/>
  <c r="A226" i="1"/>
  <c r="B226" i="1"/>
  <c r="C226" i="1"/>
  <c r="D226" i="1"/>
  <c r="A225" i="1"/>
  <c r="B225" i="1"/>
  <c r="C225" i="1"/>
  <c r="D225" i="1"/>
  <c r="A224" i="1"/>
  <c r="B224" i="1"/>
  <c r="C224" i="1"/>
  <c r="D224" i="1"/>
  <c r="A223" i="1"/>
  <c r="B223" i="1"/>
  <c r="C223" i="1"/>
  <c r="D223" i="1"/>
  <c r="A222" i="1"/>
  <c r="B222" i="1"/>
  <c r="C222" i="1"/>
  <c r="D222" i="1"/>
  <c r="A221" i="1"/>
  <c r="B221" i="1"/>
  <c r="C221" i="1"/>
  <c r="D221" i="1"/>
  <c r="A220" i="1"/>
  <c r="B220" i="1"/>
  <c r="C220" i="1"/>
  <c r="D220" i="1"/>
  <c r="A219" i="1"/>
  <c r="B219" i="1"/>
  <c r="C219" i="1"/>
  <c r="D219" i="1"/>
  <c r="C218" i="1"/>
  <c r="D218" i="1"/>
  <c r="A218" i="1"/>
  <c r="B218" i="1"/>
  <c r="A217" i="1"/>
  <c r="B217" i="1"/>
  <c r="A216" i="1"/>
  <c r="B216" i="1"/>
  <c r="C216" i="1"/>
  <c r="D216" i="1"/>
  <c r="A215" i="1"/>
  <c r="B215" i="1"/>
  <c r="C215" i="1"/>
  <c r="D215" i="1"/>
  <c r="A214" i="1"/>
  <c r="A213" i="1"/>
  <c r="A212" i="1"/>
  <c r="B212" i="1"/>
  <c r="B213" i="1" s="1"/>
  <c r="B214" i="1" s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C188" i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C187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D130" i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A129" i="1"/>
  <c r="A128" i="1"/>
  <c r="D128" i="1"/>
  <c r="D129" i="1" s="1"/>
  <c r="A127" i="1"/>
  <c r="D126" i="1"/>
  <c r="D127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203" i="3" s="1"/>
  <c r="A206" i="3" s="1"/>
  <c r="A209" i="3" s="1"/>
  <c r="A212" i="3" s="1"/>
  <c r="A215" i="3" s="1"/>
  <c r="A218" i="3" s="1"/>
  <c r="A221" i="3" s="1"/>
  <c r="A224" i="3" s="1"/>
  <c r="A227" i="3" s="1"/>
  <c r="A230" i="3" s="1"/>
  <c r="A198" i="3" l="1"/>
  <c r="A196" i="3"/>
  <c r="A199" i="3" l="1"/>
  <c r="A201" i="3"/>
  <c r="A202" i="3" l="1"/>
  <c r="A204" i="3"/>
  <c r="A205" i="3" l="1"/>
  <c r="A207" i="3"/>
  <c r="A208" i="3" l="1"/>
  <c r="A210" i="3"/>
  <c r="A211" i="3" l="1"/>
  <c r="A213" i="3"/>
  <c r="A214" i="3" l="1"/>
  <c r="A216" i="3"/>
  <c r="A217" i="3" l="1"/>
  <c r="A219" i="3"/>
  <c r="A222" i="3" l="1"/>
  <c r="A220" i="3"/>
  <c r="A225" i="3" l="1"/>
  <c r="A223" i="3"/>
  <c r="A226" i="3" l="1"/>
  <c r="A228" i="3"/>
  <c r="A229" i="3" l="1"/>
  <c r="A231" i="3"/>
  <c r="A232" i="3" l="1"/>
  <c r="A233" i="3" l="1"/>
  <c r="A235" i="3" l="1"/>
  <c r="A234" i="3"/>
  <c r="A237" i="3" l="1"/>
  <c r="A236" i="3"/>
  <c r="A239" i="3" l="1"/>
  <c r="A238" i="3"/>
  <c r="A241" i="3" l="1"/>
  <c r="A240" i="3"/>
  <c r="A243" i="3" l="1"/>
  <c r="A242" i="3"/>
  <c r="A244" i="3" l="1"/>
  <c r="A245" i="3"/>
  <c r="A247" i="3" l="1"/>
  <c r="A246" i="3"/>
  <c r="A249" i="3" l="1"/>
  <c r="A248" i="3"/>
  <c r="A251" i="3" l="1"/>
  <c r="A250" i="3"/>
  <c r="A253" i="3" l="1"/>
  <c r="A252" i="3"/>
  <c r="A255" i="3" l="1"/>
  <c r="A254" i="3"/>
  <c r="A257" i="3" l="1"/>
  <c r="A256" i="3"/>
  <c r="A259" i="3" l="1"/>
  <c r="A258" i="3"/>
  <c r="A261" i="3" l="1"/>
  <c r="A260" i="3"/>
  <c r="A263" i="3" l="1"/>
  <c r="A262" i="3"/>
  <c r="A265" i="3" l="1"/>
  <c r="A264" i="3"/>
  <c r="A267" i="3" l="1"/>
  <c r="A266" i="3"/>
  <c r="A269" i="3" l="1"/>
  <c r="A268" i="3"/>
  <c r="A271" i="3" l="1"/>
  <c r="A270" i="3"/>
</calcChain>
</file>

<file path=xl/sharedStrings.xml><?xml version="1.0" encoding="utf-8"?>
<sst xmlns="http://schemas.openxmlformats.org/spreadsheetml/2006/main" count="360" uniqueCount="27">
  <si>
    <t>番号</t>
  </si>
  <si>
    <t>記録日</t>
  </si>
  <si>
    <t>日数</t>
    <rPh sb="0" eb="2">
      <t>ニッスウ</t>
    </rPh>
    <phoneticPr fontId="3"/>
  </si>
  <si>
    <t>Premium models</t>
    <phoneticPr fontId="3"/>
  </si>
  <si>
    <t>gpt-4o-mini or cursor-small</t>
    <phoneticPr fontId="3"/>
  </si>
  <si>
    <t>Fast requests will refresh in X day</t>
    <phoneticPr fontId="3"/>
  </si>
  <si>
    <t>Accepted Lines: X Lines</t>
    <phoneticPr fontId="3"/>
  </si>
  <si>
    <t>Suggested Lines: X lines</t>
    <phoneticPr fontId="3"/>
  </si>
  <si>
    <t>Subscription Included: X requets</t>
    <phoneticPr fontId="3"/>
  </si>
  <si>
    <t>API Key Requests: X requets</t>
    <phoneticPr fontId="3"/>
  </si>
  <si>
    <t>Usage Based Requets: X requets</t>
    <phoneticPr fontId="3"/>
  </si>
  <si>
    <t>Tabs Accepted: X tabs</t>
    <phoneticPr fontId="3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</si>
  <si>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</si>
  <si>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</si>
  <si>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</si>
  <si>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</si>
  <si>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</si>
  <si>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</si>
  <si>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</si>
  <si>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</si>
  <si>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3"/>
  </si>
  <si>
    <t>Cache Write</t>
    <phoneticPr fontId="3"/>
  </si>
  <si>
    <t>Input</t>
    <phoneticPr fontId="3"/>
  </si>
  <si>
    <t>Input
(W/ CACHE WRITE)</t>
    <phoneticPr fontId="3"/>
  </si>
  <si>
    <t>Total</t>
    <phoneticPr fontId="3"/>
  </si>
  <si>
    <t>Input
(W/O CACHE WRITE)</t>
    <phoneticPr fontId="3"/>
  </si>
  <si>
    <t>agent_reiew</t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</si>
</sst>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24" formatCode="\$#,##0_);[Red]\(\$#,##0\)"/>
    <numFmt numFmtId="26" formatCode="\$#,##0.00_);[Red]\(\$#,##0.00\)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2">
    <xf numFmtId="0" fontId="0" fillId="0" borderId="0"/>
    <xf numFmtId="38" fontId="4" fillId="0" borderId="0" applyFont="0" applyFill="0" applyBorder="0" applyAlignment="0" applyProtection="0">
      <alignment vertical="center"/>
    </xf>
  </cellStyleXfs>
  <cellXfs count="31">
    <xf numFmtId="0" fontId="0" fillId="0" borderId="0" xfId="0"/>
    <xf numFmtId="3" fontId="1" fillId="2" borderId="1" xfId="0" applyNumberFormat="1" applyFont="1" applyFill="1" applyBorder="1" applyAlignment="1">
      <alignment horizontal="left" vertical="center"/>
    </xf>
    <xf numFmtId="14" fontId="1" fillId="2" borderId="1" xfId="0" applyNumberFormat="1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38" fontId="1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2" fillId="0" borderId="1" xfId="0" applyNumberFormat="1" applyFont="1" applyBorder="1" applyAlignment="1">
      <alignment horizontal="right" vertical="center"/>
    </xf>
    <xf numFmtId="14" fontId="2" fillId="0" borderId="1" xfId="0" applyNumberFormat="1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38" fontId="2" fillId="0" borderId="1" xfId="1" applyFont="1" applyBorder="1" applyAlignment="1">
      <alignment horizontal="left" vertical="center"/>
    </xf>
    <xf numFmtId="38" fontId="2" fillId="0" borderId="6" xfId="1" applyFont="1" applyBorder="1" applyAlignment="1">
      <alignment horizontal="left" vertical="center"/>
    </xf>
    <xf numFmtId="0" fontId="2" fillId="0" borderId="6" xfId="0" applyFont="1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38" fontId="2" fillId="0" borderId="3" xfId="1" applyFont="1" applyBorder="1" applyAlignment="1">
      <alignment horizontal="left" vertical="center"/>
    </xf>
    <xf numFmtId="0" fontId="2" fillId="0" borderId="3" xfId="0" applyFont="1" applyBorder="1" applyAlignment="1">
      <alignment horizontal="left" vertical="center"/>
    </xf>
    <xf numFmtId="0" fontId="2" fillId="0" borderId="5" xfId="0" applyFont="1" applyBorder="1" applyAlignment="1">
      <alignment horizontal="left" vertical="center"/>
    </xf>
    <xf numFmtId="38" fontId="2" fillId="0" borderId="5" xfId="1" applyFont="1" applyBorder="1" applyAlignment="1">
      <alignment horizontal="left" vertical="center"/>
    </xf>
    <xf numFmtId="38" fontId="2" fillId="0" borderId="2" xfId="1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5" fillId="3" borderId="3" xfId="0" applyFont="1" applyFill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 wrapText="1"/>
    </xf>
    <xf numFmtId="38" fontId="2" fillId="0" borderId="4" xfId="1" applyFont="1" applyBorder="1" applyAlignment="1">
      <alignment horizontal="left" vertical="center"/>
    </xf>
  </cellXfs>
  <cellStyles count="2">
    <cellStyle name="桁区切り" xfId="1" builtinId="6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268"/>
  <sheetViews>
    <sheetView showGridLines="0" tabSelected="1" workbookViewId="0">
      <pane ySplit="1" topLeftCell="A254" activePane="bottomLeft" state="frozen"/>
      <selection pane="bottomLeft" activeCell="A269" sqref="A269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56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C268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46" si="9">C100+1</f>
        <v>8</v>
      </c>
      <c r="D101" s="12">
        <f t="shared" ref="D101:D268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  <row r="237" spans="1:7" ht="14.5">
      <c r="A237" s="6">
        <f t="shared" si="0"/>
        <v>236</v>
      </c>
      <c r="B237" s="7">
        <f t="shared" si="6"/>
        <v>45998</v>
      </c>
      <c r="C237" s="6">
        <f t="shared" si="9"/>
        <v>21</v>
      </c>
      <c r="D237" s="12">
        <f t="shared" si="10"/>
        <v>10</v>
      </c>
      <c r="E237" s="17">
        <v>0</v>
      </c>
      <c r="F237" s="17">
        <v>0</v>
      </c>
      <c r="G237" s="17">
        <v>0</v>
      </c>
    </row>
    <row r="238" spans="1:7" ht="14.5">
      <c r="A238" s="6">
        <f t="shared" si="0"/>
        <v>237</v>
      </c>
      <c r="B238" s="7">
        <f t="shared" si="6"/>
        <v>45999</v>
      </c>
      <c r="C238" s="6">
        <f t="shared" si="9"/>
        <v>22</v>
      </c>
      <c r="D238" s="12">
        <f t="shared" si="10"/>
        <v>9</v>
      </c>
      <c r="E238" s="17">
        <v>1641</v>
      </c>
      <c r="F238" s="17">
        <v>962</v>
      </c>
      <c r="G238" s="17">
        <v>0</v>
      </c>
    </row>
    <row r="239" spans="1:7" ht="14.5">
      <c r="A239" s="6">
        <f t="shared" si="0"/>
        <v>238</v>
      </c>
      <c r="B239" s="7">
        <f t="shared" si="6"/>
        <v>46000</v>
      </c>
      <c r="C239" s="6">
        <f t="shared" si="9"/>
        <v>23</v>
      </c>
      <c r="D239" s="12">
        <f t="shared" si="10"/>
        <v>8</v>
      </c>
      <c r="E239" s="17">
        <v>0</v>
      </c>
      <c r="F239" s="17">
        <v>0</v>
      </c>
      <c r="G239" s="17">
        <v>0</v>
      </c>
    </row>
    <row r="240" spans="1:7" ht="14.5">
      <c r="A240" s="6">
        <f t="shared" si="0"/>
        <v>239</v>
      </c>
      <c r="B240" s="7">
        <f t="shared" si="6"/>
        <v>46001</v>
      </c>
      <c r="C240" s="6">
        <f t="shared" si="9"/>
        <v>24</v>
      </c>
      <c r="D240" s="12">
        <f t="shared" si="10"/>
        <v>7</v>
      </c>
      <c r="E240" s="17">
        <v>144</v>
      </c>
      <c r="F240" s="17">
        <v>144</v>
      </c>
      <c r="G240" s="17">
        <v>0</v>
      </c>
    </row>
    <row r="241" spans="1:7" ht="14.5">
      <c r="A241" s="6">
        <f t="shared" si="0"/>
        <v>240</v>
      </c>
      <c r="B241" s="7">
        <f t="shared" si="6"/>
        <v>46002</v>
      </c>
      <c r="C241" s="6">
        <f t="shared" si="9"/>
        <v>25</v>
      </c>
      <c r="D241" s="12">
        <f t="shared" si="10"/>
        <v>6</v>
      </c>
      <c r="E241" s="17">
        <v>1740</v>
      </c>
      <c r="F241" s="17">
        <v>1728</v>
      </c>
      <c r="G241" s="17">
        <v>0</v>
      </c>
    </row>
    <row r="242" spans="1:7" ht="14.5">
      <c r="A242" s="6">
        <f t="shared" si="0"/>
        <v>241</v>
      </c>
      <c r="B242" s="7">
        <f t="shared" si="6"/>
        <v>46003</v>
      </c>
      <c r="C242" s="6">
        <f t="shared" si="9"/>
        <v>26</v>
      </c>
      <c r="D242" s="12">
        <f t="shared" si="10"/>
        <v>5</v>
      </c>
      <c r="E242" s="17">
        <v>0</v>
      </c>
      <c r="F242" s="17">
        <v>0</v>
      </c>
      <c r="G242" s="17">
        <v>0</v>
      </c>
    </row>
    <row r="243" spans="1:7" ht="14.5">
      <c r="A243" s="6">
        <f t="shared" si="0"/>
        <v>242</v>
      </c>
      <c r="B243" s="7">
        <f t="shared" si="6"/>
        <v>46004</v>
      </c>
      <c r="C243" s="6">
        <f t="shared" si="9"/>
        <v>27</v>
      </c>
      <c r="D243" s="12">
        <f t="shared" si="10"/>
        <v>4</v>
      </c>
      <c r="E243" s="17">
        <v>0</v>
      </c>
      <c r="F243" s="17">
        <v>0</v>
      </c>
      <c r="G243" s="17">
        <v>0</v>
      </c>
    </row>
    <row r="244" spans="1:7" ht="14.5">
      <c r="A244" s="6">
        <f t="shared" si="0"/>
        <v>243</v>
      </c>
      <c r="B244" s="7">
        <f t="shared" si="6"/>
        <v>46005</v>
      </c>
      <c r="C244" s="6">
        <f t="shared" si="9"/>
        <v>28</v>
      </c>
      <c r="D244" s="12">
        <f t="shared" si="10"/>
        <v>3</v>
      </c>
      <c r="E244" s="17">
        <v>19</v>
      </c>
      <c r="F244" s="17">
        <v>0</v>
      </c>
      <c r="G244" s="17">
        <v>0</v>
      </c>
    </row>
    <row r="245" spans="1:7" ht="14.5">
      <c r="A245" s="6">
        <f t="shared" si="0"/>
        <v>244</v>
      </c>
      <c r="B245" s="7">
        <f t="shared" si="6"/>
        <v>46006</v>
      </c>
      <c r="C245" s="6">
        <f t="shared" si="9"/>
        <v>29</v>
      </c>
      <c r="D245" s="12">
        <f t="shared" si="10"/>
        <v>2</v>
      </c>
      <c r="E245" s="17">
        <v>714</v>
      </c>
      <c r="F245" s="17">
        <v>714</v>
      </c>
      <c r="G245" s="17">
        <v>0</v>
      </c>
    </row>
    <row r="246" spans="1:7" ht="14.5">
      <c r="A246" s="6">
        <f t="shared" si="0"/>
        <v>245</v>
      </c>
      <c r="B246" s="7">
        <f t="shared" si="6"/>
        <v>46007</v>
      </c>
      <c r="C246" s="6">
        <f t="shared" si="9"/>
        <v>30</v>
      </c>
      <c r="D246" s="12">
        <f t="shared" si="10"/>
        <v>1</v>
      </c>
      <c r="E246" s="17">
        <v>0</v>
      </c>
      <c r="F246" s="17">
        <v>0</v>
      </c>
      <c r="G246" s="17">
        <v>0</v>
      </c>
    </row>
    <row r="247" spans="1:7" ht="14.5">
      <c r="A247" s="6">
        <f t="shared" si="0"/>
        <v>246</v>
      </c>
      <c r="B247" s="7">
        <f t="shared" si="6"/>
        <v>46008</v>
      </c>
      <c r="C247" s="6">
        <v>1</v>
      </c>
      <c r="D247" s="12">
        <v>30</v>
      </c>
      <c r="E247" s="17">
        <v>0</v>
      </c>
      <c r="F247" s="17">
        <v>0</v>
      </c>
      <c r="G247" s="17">
        <v>0</v>
      </c>
    </row>
    <row r="248" spans="1:7" ht="14.5">
      <c r="A248" s="6">
        <f t="shared" si="0"/>
        <v>247</v>
      </c>
      <c r="B248" s="7">
        <f t="shared" si="6"/>
        <v>46009</v>
      </c>
      <c r="C248" s="6">
        <f>C247+1</f>
        <v>2</v>
      </c>
      <c r="D248" s="12">
        <f t="shared" si="10"/>
        <v>29</v>
      </c>
      <c r="E248" s="17">
        <v>0</v>
      </c>
      <c r="F248" s="17">
        <v>0</v>
      </c>
      <c r="G248" s="17">
        <v>0</v>
      </c>
    </row>
    <row r="249" spans="1:7" ht="14.5">
      <c r="A249" s="6">
        <f t="shared" si="0"/>
        <v>248</v>
      </c>
      <c r="B249" s="7">
        <f t="shared" si="6"/>
        <v>46010</v>
      </c>
      <c r="C249" s="6">
        <f t="shared" si="6"/>
        <v>3</v>
      </c>
      <c r="D249" s="12">
        <f t="shared" si="10"/>
        <v>28</v>
      </c>
      <c r="E249" s="17">
        <v>0</v>
      </c>
      <c r="F249" s="17">
        <v>0</v>
      </c>
      <c r="G249" s="17">
        <v>0</v>
      </c>
    </row>
    <row r="250" spans="1:7" ht="14.5">
      <c r="A250" s="6">
        <f t="shared" si="0"/>
        <v>249</v>
      </c>
      <c r="B250" s="7">
        <f t="shared" si="6"/>
        <v>46011</v>
      </c>
      <c r="C250" s="6">
        <f t="shared" si="6"/>
        <v>4</v>
      </c>
      <c r="D250" s="12">
        <f t="shared" si="10"/>
        <v>27</v>
      </c>
      <c r="E250" s="17">
        <v>0</v>
      </c>
      <c r="F250" s="17">
        <v>0</v>
      </c>
      <c r="G250" s="17">
        <v>0</v>
      </c>
    </row>
    <row r="251" spans="1:7" ht="14.5">
      <c r="A251" s="6">
        <f t="shared" si="0"/>
        <v>250</v>
      </c>
      <c r="B251" s="7">
        <f t="shared" si="6"/>
        <v>46012</v>
      </c>
      <c r="C251" s="6">
        <f t="shared" si="6"/>
        <v>5</v>
      </c>
      <c r="D251" s="12">
        <f t="shared" si="10"/>
        <v>26</v>
      </c>
      <c r="E251" s="17">
        <v>0</v>
      </c>
      <c r="F251" s="17">
        <v>0</v>
      </c>
      <c r="G251" s="17">
        <v>0</v>
      </c>
    </row>
    <row r="252" spans="1:7" ht="14.5">
      <c r="A252" s="6">
        <f t="shared" si="0"/>
        <v>251</v>
      </c>
      <c r="B252" s="7">
        <f t="shared" si="6"/>
        <v>46013</v>
      </c>
      <c r="C252" s="6">
        <f t="shared" si="6"/>
        <v>6</v>
      </c>
      <c r="D252" s="12">
        <f t="shared" si="10"/>
        <v>25</v>
      </c>
      <c r="E252" s="17">
        <v>0</v>
      </c>
      <c r="F252" s="17">
        <v>0</v>
      </c>
      <c r="G252" s="17">
        <v>0</v>
      </c>
    </row>
    <row r="253" spans="1:7" ht="14.5">
      <c r="A253" s="6">
        <f t="shared" si="0"/>
        <v>252</v>
      </c>
      <c r="B253" s="7">
        <f t="shared" si="6"/>
        <v>46014</v>
      </c>
      <c r="C253" s="6">
        <f t="shared" si="6"/>
        <v>7</v>
      </c>
      <c r="D253" s="12">
        <f t="shared" si="10"/>
        <v>24</v>
      </c>
      <c r="E253" s="17">
        <v>1322</v>
      </c>
      <c r="F253" s="17">
        <v>1322</v>
      </c>
      <c r="G253" s="17">
        <v>0</v>
      </c>
    </row>
    <row r="254" spans="1:7" ht="14.5">
      <c r="A254" s="6">
        <f t="shared" si="0"/>
        <v>253</v>
      </c>
      <c r="B254" s="7">
        <f t="shared" si="6"/>
        <v>46015</v>
      </c>
      <c r="C254" s="6">
        <f t="shared" si="6"/>
        <v>8</v>
      </c>
      <c r="D254" s="12">
        <f t="shared" si="10"/>
        <v>23</v>
      </c>
      <c r="E254" s="17">
        <v>830</v>
      </c>
      <c r="F254" s="17">
        <v>685</v>
      </c>
      <c r="G254" s="17">
        <v>0</v>
      </c>
    </row>
    <row r="255" spans="1:7" ht="14.5">
      <c r="A255" s="6">
        <f t="shared" si="0"/>
        <v>254</v>
      </c>
      <c r="B255" s="7">
        <f t="shared" si="6"/>
        <v>46016</v>
      </c>
      <c r="C255" s="6">
        <f t="shared" si="6"/>
        <v>9</v>
      </c>
      <c r="D255" s="12">
        <f t="shared" si="10"/>
        <v>22</v>
      </c>
      <c r="E255" s="17">
        <v>51</v>
      </c>
      <c r="F255" s="17">
        <v>51</v>
      </c>
      <c r="G255" s="17">
        <v>0</v>
      </c>
    </row>
    <row r="256" spans="1:7" ht="14.5">
      <c r="A256" s="6">
        <f t="shared" si="0"/>
        <v>255</v>
      </c>
      <c r="B256" s="7">
        <f t="shared" si="6"/>
        <v>46017</v>
      </c>
      <c r="C256" s="6">
        <f t="shared" si="6"/>
        <v>10</v>
      </c>
      <c r="D256" s="12">
        <f t="shared" si="10"/>
        <v>21</v>
      </c>
      <c r="E256" s="17">
        <v>198</v>
      </c>
      <c r="F256" s="17">
        <v>198</v>
      </c>
      <c r="G256" s="17">
        <v>0</v>
      </c>
    </row>
    <row r="257" spans="1:7" ht="14.5">
      <c r="A257" s="6">
        <f t="shared" ref="A257:A268" si="11">ROW()-1</f>
        <v>256</v>
      </c>
      <c r="B257" s="7">
        <f t="shared" si="6"/>
        <v>46018</v>
      </c>
      <c r="C257" s="6">
        <f t="shared" si="6"/>
        <v>11</v>
      </c>
      <c r="D257" s="12">
        <f t="shared" si="10"/>
        <v>20</v>
      </c>
      <c r="E257" s="17">
        <v>613</v>
      </c>
      <c r="F257" s="17">
        <v>588</v>
      </c>
      <c r="G257" s="17">
        <v>0</v>
      </c>
    </row>
    <row r="258" spans="1:7" ht="14.5">
      <c r="A258" s="6">
        <f t="shared" si="11"/>
        <v>257</v>
      </c>
      <c r="B258" s="7">
        <f t="shared" si="6"/>
        <v>46019</v>
      </c>
      <c r="C258" s="6">
        <f t="shared" si="6"/>
        <v>12</v>
      </c>
      <c r="D258" s="12">
        <f t="shared" si="10"/>
        <v>19</v>
      </c>
      <c r="E258" s="17">
        <v>5026</v>
      </c>
      <c r="F258" s="17">
        <v>5026</v>
      </c>
      <c r="G258" s="17">
        <v>0</v>
      </c>
    </row>
    <row r="259" spans="1:7" ht="14.5">
      <c r="A259" s="6">
        <f t="shared" si="11"/>
        <v>258</v>
      </c>
      <c r="B259" s="7">
        <f t="shared" si="6"/>
        <v>46020</v>
      </c>
      <c r="C259" s="6">
        <f t="shared" si="6"/>
        <v>13</v>
      </c>
      <c r="D259" s="12">
        <f t="shared" si="10"/>
        <v>18</v>
      </c>
      <c r="E259" s="17">
        <v>107</v>
      </c>
      <c r="F259" s="17">
        <v>107</v>
      </c>
      <c r="G259" s="17">
        <v>0</v>
      </c>
    </row>
    <row r="260" spans="1:7" ht="14.5">
      <c r="A260" s="6">
        <f t="shared" si="11"/>
        <v>259</v>
      </c>
      <c r="B260" s="7">
        <f t="shared" si="6"/>
        <v>46021</v>
      </c>
      <c r="C260" s="6">
        <f t="shared" si="6"/>
        <v>14</v>
      </c>
      <c r="D260" s="12">
        <f t="shared" si="10"/>
        <v>17</v>
      </c>
      <c r="E260" s="17">
        <v>104</v>
      </c>
      <c r="F260" s="17">
        <v>100</v>
      </c>
      <c r="G260" s="17">
        <v>0</v>
      </c>
    </row>
    <row r="261" spans="1:7" ht="14.5">
      <c r="A261" s="6">
        <f t="shared" si="11"/>
        <v>260</v>
      </c>
      <c r="B261" s="7">
        <f t="shared" si="6"/>
        <v>46022</v>
      </c>
      <c r="C261" s="6">
        <f t="shared" si="6"/>
        <v>15</v>
      </c>
      <c r="D261" s="12">
        <f t="shared" si="10"/>
        <v>16</v>
      </c>
      <c r="E261" s="17">
        <v>153</v>
      </c>
      <c r="F261" s="17">
        <v>153</v>
      </c>
      <c r="G261" s="17">
        <v>0</v>
      </c>
    </row>
    <row r="262" spans="1:7" ht="14.5">
      <c r="A262" s="6">
        <f t="shared" si="11"/>
        <v>261</v>
      </c>
      <c r="B262" s="7">
        <f t="shared" si="6"/>
        <v>46023</v>
      </c>
      <c r="C262" s="6">
        <f t="shared" si="6"/>
        <v>16</v>
      </c>
      <c r="D262" s="12">
        <f t="shared" si="10"/>
        <v>15</v>
      </c>
      <c r="E262" s="17">
        <v>25</v>
      </c>
      <c r="F262" s="17">
        <v>25</v>
      </c>
      <c r="G262" s="17">
        <v>0</v>
      </c>
    </row>
    <row r="263" spans="1:7" ht="14.5">
      <c r="A263" s="6">
        <f t="shared" si="11"/>
        <v>262</v>
      </c>
      <c r="B263" s="7">
        <f t="shared" si="6"/>
        <v>46024</v>
      </c>
      <c r="C263" s="6">
        <f t="shared" si="6"/>
        <v>17</v>
      </c>
      <c r="D263" s="12">
        <f t="shared" si="10"/>
        <v>14</v>
      </c>
      <c r="E263" s="17">
        <v>289</v>
      </c>
      <c r="F263" s="17">
        <v>289</v>
      </c>
      <c r="G263" s="17">
        <v>0</v>
      </c>
    </row>
    <row r="264" spans="1:7" ht="14.5">
      <c r="A264" s="6">
        <f t="shared" si="11"/>
        <v>263</v>
      </c>
      <c r="B264" s="7">
        <f t="shared" si="6"/>
        <v>46025</v>
      </c>
      <c r="C264" s="6">
        <f t="shared" si="6"/>
        <v>18</v>
      </c>
      <c r="D264" s="12">
        <f t="shared" si="10"/>
        <v>13</v>
      </c>
      <c r="E264" s="17">
        <v>343</v>
      </c>
      <c r="F264" s="17">
        <v>343</v>
      </c>
      <c r="G264" s="17">
        <v>0</v>
      </c>
    </row>
    <row r="265" spans="1:7" ht="14.5">
      <c r="A265" s="6">
        <f t="shared" si="11"/>
        <v>264</v>
      </c>
      <c r="B265" s="7">
        <f t="shared" si="6"/>
        <v>46026</v>
      </c>
      <c r="C265" s="6">
        <f t="shared" si="6"/>
        <v>19</v>
      </c>
      <c r="D265" s="12">
        <f t="shared" si="10"/>
        <v>12</v>
      </c>
      <c r="E265" s="17">
        <v>451</v>
      </c>
      <c r="F265" s="17">
        <v>451</v>
      </c>
      <c r="G265" s="17">
        <v>0</v>
      </c>
    </row>
    <row r="266" spans="1:7" ht="14.5">
      <c r="A266" s="6">
        <f t="shared" si="11"/>
        <v>265</v>
      </c>
      <c r="B266" s="7">
        <f t="shared" si="6"/>
        <v>46027</v>
      </c>
      <c r="C266" s="6">
        <f t="shared" si="6"/>
        <v>20</v>
      </c>
      <c r="D266" s="12">
        <f t="shared" si="10"/>
        <v>11</v>
      </c>
      <c r="E266" s="17">
        <v>805</v>
      </c>
      <c r="F266" s="17">
        <v>569</v>
      </c>
      <c r="G266" s="17">
        <v>0</v>
      </c>
    </row>
    <row r="267" spans="1:7" ht="14.5">
      <c r="A267" s="6">
        <f t="shared" si="11"/>
        <v>266</v>
      </c>
      <c r="B267" s="7">
        <f t="shared" si="6"/>
        <v>46028</v>
      </c>
      <c r="C267" s="6">
        <f t="shared" si="6"/>
        <v>21</v>
      </c>
      <c r="D267" s="12">
        <f t="shared" si="10"/>
        <v>10</v>
      </c>
      <c r="E267" s="17">
        <v>1441</v>
      </c>
      <c r="F267" s="17">
        <v>1441</v>
      </c>
      <c r="G267" s="17">
        <v>0</v>
      </c>
    </row>
    <row r="268" spans="1:7" ht="14.5">
      <c r="A268" s="6">
        <f t="shared" si="11"/>
        <v>267</v>
      </c>
      <c r="B268" s="7">
        <f t="shared" si="6"/>
        <v>46029</v>
      </c>
      <c r="C268" s="6">
        <f t="shared" si="6"/>
        <v>22</v>
      </c>
      <c r="D268" s="12">
        <f t="shared" si="10"/>
        <v>9</v>
      </c>
      <c r="E268" s="17">
        <v>472</v>
      </c>
      <c r="F268" s="17">
        <v>472</v>
      </c>
      <c r="G268" s="17">
        <v>0</v>
      </c>
    </row>
  </sheetData>
  <phoneticPr fontId="3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I271"/>
  <sheetViews>
    <sheetView showGridLines="0" workbookViewId="0">
      <pane xSplit="1" ySplit="1" topLeftCell="B243" activePane="bottomRight" state="frozen"/>
      <selection pane="topRight" activeCell="B1" sqref="B1"/>
      <selection pane="bottomLeft" activeCell="A2" sqref="A2"/>
      <selection pane="bottomRight" activeCell="A272" sqref="A272"/>
    </sheetView>
  </sheetViews>
  <sheetFormatPr defaultRowHeight="13"/>
  <cols>
    <col min="1" max="1" width="11.36328125" bestFit="1" customWidth="1"/>
    <col min="2" max="2" width="11" bestFit="1" customWidth="1"/>
    <col min="3" max="4" width="11.6328125" bestFit="1" customWidth="1"/>
    <col min="5" max="5" width="12.3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</row>
    <row r="2" spans="1:9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</row>
    <row r="3" spans="1:9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</row>
    <row r="4" spans="1:9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</row>
    <row r="5" spans="1:9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</row>
    <row r="6" spans="1:9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</row>
    <row r="7" spans="1:9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</row>
    <row r="8" spans="1:9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</row>
    <row r="9" spans="1:9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</row>
    <row r="10" spans="1:9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</row>
    <row r="11" spans="1:9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</row>
    <row r="12" spans="1:9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</row>
    <row r="13" spans="1:9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</row>
    <row r="14" spans="1:9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</row>
    <row r="15" spans="1:9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</row>
    <row r="16" spans="1:9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</row>
    <row r="17" spans="1:9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</row>
    <row r="18" spans="1:9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</row>
    <row r="19" spans="1:9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</row>
    <row r="20" spans="1:9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</row>
    <row r="21" spans="1:9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</row>
    <row r="22" spans="1:9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</row>
    <row r="23" spans="1:9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</row>
    <row r="24" spans="1:9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</row>
    <row r="25" spans="1:9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</row>
    <row r="26" spans="1:9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</row>
    <row r="27" spans="1:9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</row>
    <row r="28" spans="1:9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</row>
    <row r="29" spans="1:9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</row>
    <row r="30" spans="1:9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</row>
    <row r="31" spans="1:9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</row>
    <row r="32" spans="1:9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</row>
    <row r="33" spans="1:9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</row>
    <row r="34" spans="1:9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</row>
    <row r="35" spans="1:9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</row>
    <row r="36" spans="1:9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</row>
    <row r="37" spans="1:9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</row>
    <row r="38" spans="1:9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</row>
    <row r="39" spans="1:9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</row>
    <row r="40" spans="1:9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</row>
    <row r="41" spans="1:9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</row>
    <row r="42" spans="1:9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</row>
    <row r="43" spans="1:9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</row>
    <row r="44" spans="1:9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</row>
    <row r="45" spans="1:9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</row>
    <row r="46" spans="1:9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</row>
    <row r="47" spans="1:9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</row>
    <row r="48" spans="1:9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</row>
    <row r="49" spans="1:9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</row>
    <row r="50" spans="1:9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</row>
    <row r="51" spans="1:9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</row>
    <row r="52" spans="1:9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</row>
    <row r="53" spans="1:9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</row>
    <row r="54" spans="1:9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</row>
    <row r="55" spans="1:9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</row>
    <row r="56" spans="1:9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</row>
    <row r="57" spans="1:9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</row>
    <row r="58" spans="1:9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</row>
    <row r="59" spans="1:9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</row>
    <row r="60" spans="1:9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</row>
    <row r="61" spans="1:9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</row>
    <row r="62" spans="1:9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</row>
    <row r="63" spans="1:9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</row>
    <row r="64" spans="1:9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</row>
    <row r="65" spans="1:9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</row>
    <row r="66" spans="1:9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</row>
    <row r="67" spans="1:9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</row>
    <row r="68" spans="1:9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</row>
    <row r="69" spans="1:9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</row>
    <row r="70" spans="1:9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</row>
    <row r="71" spans="1:9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</row>
    <row r="72" spans="1:9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</row>
    <row r="73" spans="1:9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</row>
    <row r="74" spans="1:9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</row>
    <row r="75" spans="1:9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</row>
    <row r="76" spans="1:9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</row>
    <row r="77" spans="1:9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</row>
    <row r="78" spans="1:9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</row>
    <row r="79" spans="1:9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</row>
    <row r="80" spans="1:9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</row>
    <row r="81" spans="1:9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</row>
    <row r="82" spans="1:9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</row>
    <row r="83" spans="1:9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</row>
    <row r="84" spans="1:9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</row>
    <row r="85" spans="1:9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</row>
    <row r="86" spans="1:9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</row>
    <row r="87" spans="1:9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</row>
    <row r="88" spans="1:9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</row>
    <row r="89" spans="1:9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</row>
    <row r="90" spans="1:9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</row>
    <row r="91" spans="1:9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</row>
    <row r="92" spans="1:9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</row>
    <row r="93" spans="1:9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</row>
    <row r="94" spans="1:9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</row>
    <row r="95" spans="1:9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</row>
    <row r="96" spans="1:9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</row>
    <row r="97" spans="1:9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</row>
    <row r="98" spans="1:9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</row>
    <row r="99" spans="1:9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</row>
    <row r="100" spans="1:9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</row>
    <row r="101" spans="1:9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</row>
    <row r="102" spans="1:9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</row>
    <row r="103" spans="1:9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</row>
    <row r="104" spans="1:9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</row>
    <row r="105" spans="1:9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</row>
    <row r="106" spans="1:9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</row>
    <row r="107" spans="1:9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</row>
    <row r="108" spans="1:9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</row>
    <row r="109" spans="1:9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</row>
    <row r="110" spans="1:9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</row>
    <row r="111" spans="1:9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</row>
    <row r="112" spans="1:9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</row>
    <row r="113" spans="1:9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</row>
    <row r="114" spans="1:9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</row>
    <row r="115" spans="1:9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</row>
    <row r="116" spans="1:9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</row>
    <row r="117" spans="1:9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</row>
    <row r="118" spans="1:9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</row>
    <row r="119" spans="1:9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</row>
    <row r="120" spans="1:9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</row>
    <row r="121" spans="1:9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</row>
    <row r="122" spans="1:9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</row>
    <row r="123" spans="1:9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</row>
    <row r="124" spans="1:9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</row>
    <row r="125" spans="1:9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</row>
    <row r="126" spans="1:9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</row>
    <row r="127" spans="1:9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</row>
    <row r="128" spans="1:9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</row>
    <row r="129" spans="1:9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</row>
    <row r="130" spans="1:9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</row>
    <row r="131" spans="1:9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</row>
    <row r="132" spans="1:9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</row>
    <row r="133" spans="1:9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</row>
    <row r="134" spans="1:9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</row>
    <row r="135" spans="1:9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</row>
    <row r="136" spans="1:9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</row>
    <row r="137" spans="1:9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</row>
    <row r="138" spans="1:9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</row>
    <row r="139" spans="1:9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</row>
    <row r="140" spans="1:9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</row>
    <row r="141" spans="1:9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</row>
    <row r="142" spans="1:9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</row>
    <row r="143" spans="1:9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</row>
    <row r="144" spans="1:9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</row>
    <row r="145" spans="1:9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</row>
    <row r="146" spans="1:9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</row>
    <row r="147" spans="1:9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</row>
    <row r="148" spans="1:9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</row>
    <row r="149" spans="1:9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</row>
    <row r="150" spans="1:9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</row>
    <row r="151" spans="1:9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</row>
    <row r="152" spans="1:9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</row>
    <row r="153" spans="1:9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</row>
    <row r="154" spans="1:9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</row>
    <row r="155" spans="1:9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</row>
    <row r="156" spans="1:9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</row>
    <row r="157" spans="1:9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</row>
    <row r="158" spans="1:9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</row>
    <row r="159" spans="1:9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</row>
    <row r="160" spans="1:9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</row>
    <row r="161" spans="1:9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</row>
    <row r="162" spans="1:9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</row>
    <row r="163" spans="1:9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</row>
    <row r="164" spans="1:9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</row>
    <row r="165" spans="1:9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</row>
    <row r="166" spans="1:9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</row>
    <row r="167" spans="1:9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</row>
    <row r="168" spans="1:9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</row>
    <row r="169" spans="1:9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</row>
    <row r="170" spans="1:9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</row>
    <row r="171" spans="1:9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</row>
    <row r="172" spans="1:9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</row>
    <row r="173" spans="1:9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</row>
    <row r="174" spans="1:9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</row>
    <row r="175" spans="1:9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</row>
    <row r="176" spans="1:9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</row>
    <row r="177" spans="1:9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</row>
    <row r="178" spans="1:9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</row>
    <row r="179" spans="1:9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</row>
    <row r="180" spans="1:9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</row>
    <row r="181" spans="1:9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</row>
    <row r="182" spans="1:9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</row>
    <row r="183" spans="1:9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</row>
    <row r="184" spans="1:9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</row>
    <row r="185" spans="1:9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</row>
    <row r="186" spans="1:9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</row>
    <row r="187" spans="1:9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</row>
    <row r="188" spans="1:9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</row>
    <row r="189" spans="1:9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</row>
    <row r="190" spans="1:9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</row>
    <row r="191" spans="1:9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</row>
    <row r="192" spans="1:9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</row>
    <row r="193" spans="1:9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</row>
    <row r="194" spans="1:9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</row>
    <row r="195" spans="1:9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</row>
    <row r="196" spans="1:9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</row>
    <row r="197" spans="1:9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</row>
    <row r="198" spans="1:9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</row>
    <row r="199" spans="1:9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</row>
    <row r="200" spans="1:9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</row>
    <row r="201" spans="1:9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</row>
    <row r="202" spans="1:9">
      <c r="A202" s="24">
        <f>A201+1</f>
        <v>45999</v>
      </c>
      <c r="B202" s="23" t="s">
        <v>13</v>
      </c>
      <c r="C202" s="25">
        <v>25030220</v>
      </c>
      <c r="D202" s="25">
        <v>2001981</v>
      </c>
      <c r="E202" s="25">
        <v>57599</v>
      </c>
      <c r="F202" s="25">
        <v>506622</v>
      </c>
      <c r="G202" s="25">
        <v>27596422</v>
      </c>
      <c r="H202" s="26">
        <f>H204-H203</f>
        <v>11.78</v>
      </c>
      <c r="I202" s="27">
        <v>0</v>
      </c>
    </row>
    <row r="203" spans="1:9">
      <c r="A203" s="24">
        <f>A200+1</f>
        <v>45999</v>
      </c>
      <c r="B203" s="23" t="s">
        <v>26</v>
      </c>
      <c r="C203" s="25">
        <v>595025</v>
      </c>
      <c r="D203" s="25">
        <v>56714</v>
      </c>
      <c r="E203" s="25">
        <v>86</v>
      </c>
      <c r="F203" s="25">
        <v>5762</v>
      </c>
      <c r="G203" s="25">
        <v>657587</v>
      </c>
      <c r="H203" s="26">
        <v>0.16</v>
      </c>
      <c r="I203" s="27">
        <v>0</v>
      </c>
    </row>
    <row r="204" spans="1:9">
      <c r="A204" s="24">
        <f>A201+1</f>
        <v>45999</v>
      </c>
      <c r="B204" s="23" t="s">
        <v>19</v>
      </c>
      <c r="C204" s="25">
        <f>SUM(C202:C203)</f>
        <v>25625245</v>
      </c>
      <c r="D204" s="25">
        <f t="shared" ref="D204:G204" si="2">SUM(D202:D203)</f>
        <v>2058695</v>
      </c>
      <c r="E204" s="25">
        <f t="shared" si="2"/>
        <v>57685</v>
      </c>
      <c r="F204" s="25">
        <f t="shared" si="2"/>
        <v>512384</v>
      </c>
      <c r="G204" s="25">
        <f t="shared" si="2"/>
        <v>28254009</v>
      </c>
      <c r="H204" s="26">
        <v>11.94</v>
      </c>
      <c r="I204" s="27">
        <v>0</v>
      </c>
    </row>
    <row r="205" spans="1:9">
      <c r="A205" s="24">
        <f>A204+1</f>
        <v>46000</v>
      </c>
      <c r="B205" s="23" t="s">
        <v>13</v>
      </c>
      <c r="C205" s="25">
        <v>29406746</v>
      </c>
      <c r="D205" s="25">
        <v>2253080</v>
      </c>
      <c r="E205" s="25">
        <v>57599</v>
      </c>
      <c r="F205" s="25">
        <v>588794</v>
      </c>
      <c r="G205" s="25">
        <v>32306219</v>
      </c>
      <c r="H205" s="26">
        <f>H207-H206</f>
        <v>13.68</v>
      </c>
      <c r="I205" s="27">
        <v>0</v>
      </c>
    </row>
    <row r="206" spans="1:9">
      <c r="A206" s="24">
        <f>A203+1</f>
        <v>46000</v>
      </c>
      <c r="B206" s="23" t="s">
        <v>26</v>
      </c>
      <c r="C206" s="25">
        <v>595025</v>
      </c>
      <c r="D206" s="25">
        <v>56714</v>
      </c>
      <c r="E206" s="25">
        <v>86</v>
      </c>
      <c r="F206" s="25">
        <v>5762</v>
      </c>
      <c r="G206" s="25">
        <v>657587</v>
      </c>
      <c r="H206" s="26">
        <v>0.16</v>
      </c>
      <c r="I206" s="27">
        <v>0</v>
      </c>
    </row>
    <row r="207" spans="1:9">
      <c r="A207" s="24">
        <f>A204+1</f>
        <v>46000</v>
      </c>
      <c r="B207" s="23" t="s">
        <v>19</v>
      </c>
      <c r="C207" s="25">
        <f>SUM(C205:C206)</f>
        <v>30001771</v>
      </c>
      <c r="D207" s="25">
        <f t="shared" ref="D207:G207" si="3">SUM(D205:D206)</f>
        <v>2309794</v>
      </c>
      <c r="E207" s="25">
        <f t="shared" si="3"/>
        <v>57685</v>
      </c>
      <c r="F207" s="25">
        <f t="shared" si="3"/>
        <v>594556</v>
      </c>
      <c r="G207" s="25">
        <f t="shared" si="3"/>
        <v>32963806</v>
      </c>
      <c r="H207" s="26">
        <v>13.84</v>
      </c>
      <c r="I207" s="27">
        <v>0</v>
      </c>
    </row>
    <row r="208" spans="1:9">
      <c r="A208" s="24">
        <f>A207+1</f>
        <v>46001</v>
      </c>
      <c r="B208" s="23" t="s">
        <v>13</v>
      </c>
      <c r="C208" s="25">
        <v>29406746</v>
      </c>
      <c r="D208" s="25">
        <v>2253080</v>
      </c>
      <c r="E208" s="25">
        <v>57599</v>
      </c>
      <c r="F208" s="25">
        <v>588794</v>
      </c>
      <c r="G208" s="25">
        <v>32306219</v>
      </c>
      <c r="H208" s="26">
        <f>H210-H209</f>
        <v>13.68</v>
      </c>
      <c r="I208" s="27">
        <v>0</v>
      </c>
    </row>
    <row r="209" spans="1:9">
      <c r="A209" s="24">
        <f>A206+1</f>
        <v>46001</v>
      </c>
      <c r="B209" s="23" t="s">
        <v>26</v>
      </c>
      <c r="C209" s="25">
        <v>595025</v>
      </c>
      <c r="D209" s="25">
        <v>56714</v>
      </c>
      <c r="E209" s="25">
        <v>86</v>
      </c>
      <c r="F209" s="25">
        <v>5762</v>
      </c>
      <c r="G209" s="25">
        <v>657587</v>
      </c>
      <c r="H209" s="26">
        <v>0.16</v>
      </c>
      <c r="I209" s="27">
        <v>0</v>
      </c>
    </row>
    <row r="210" spans="1:9">
      <c r="A210" s="24">
        <f>A207+1</f>
        <v>46001</v>
      </c>
      <c r="B210" s="23" t="s">
        <v>19</v>
      </c>
      <c r="C210" s="25">
        <f>SUM(C208:C209)</f>
        <v>30001771</v>
      </c>
      <c r="D210" s="25">
        <f t="shared" ref="D210:G210" si="4">SUM(D208:D209)</f>
        <v>2309794</v>
      </c>
      <c r="E210" s="25">
        <f t="shared" si="4"/>
        <v>57685</v>
      </c>
      <c r="F210" s="25">
        <f t="shared" si="4"/>
        <v>594556</v>
      </c>
      <c r="G210" s="25">
        <f t="shared" si="4"/>
        <v>32963806</v>
      </c>
      <c r="H210" s="26">
        <v>13.84</v>
      </c>
      <c r="I210" s="27">
        <v>0</v>
      </c>
    </row>
    <row r="211" spans="1:9">
      <c r="A211" s="24">
        <f>A210+1</f>
        <v>46002</v>
      </c>
      <c r="B211" s="23" t="s">
        <v>13</v>
      </c>
      <c r="C211" s="25">
        <v>29571994</v>
      </c>
      <c r="D211" s="25">
        <v>2270591</v>
      </c>
      <c r="E211" s="25">
        <v>69042</v>
      </c>
      <c r="F211" s="25">
        <v>594318</v>
      </c>
      <c r="G211" s="25">
        <v>32505945</v>
      </c>
      <c r="H211" s="26">
        <f>H213-H212</f>
        <v>13.79</v>
      </c>
      <c r="I211" s="27">
        <v>0</v>
      </c>
    </row>
    <row r="212" spans="1:9">
      <c r="A212" s="24">
        <f>A209+1</f>
        <v>46002</v>
      </c>
      <c r="B212" s="23" t="s">
        <v>26</v>
      </c>
      <c r="C212" s="25">
        <v>595025</v>
      </c>
      <c r="D212" s="25">
        <v>56714</v>
      </c>
      <c r="E212" s="25">
        <v>86</v>
      </c>
      <c r="F212" s="25">
        <v>5762</v>
      </c>
      <c r="G212" s="25">
        <v>657587</v>
      </c>
      <c r="H212" s="26">
        <v>0.16</v>
      </c>
      <c r="I212" s="27">
        <v>0</v>
      </c>
    </row>
    <row r="213" spans="1:9">
      <c r="A213" s="24">
        <f>A210+1</f>
        <v>46002</v>
      </c>
      <c r="B213" s="23" t="s">
        <v>19</v>
      </c>
      <c r="C213" s="25">
        <f>SUM(C211:C212)</f>
        <v>30167019</v>
      </c>
      <c r="D213" s="25">
        <f t="shared" ref="D213:G213" si="5">SUM(D211:D212)</f>
        <v>2327305</v>
      </c>
      <c r="E213" s="25">
        <f t="shared" si="5"/>
        <v>69128</v>
      </c>
      <c r="F213" s="25">
        <f t="shared" si="5"/>
        <v>600080</v>
      </c>
      <c r="G213" s="25">
        <f t="shared" si="5"/>
        <v>33163532</v>
      </c>
      <c r="H213" s="26">
        <v>13.95</v>
      </c>
      <c r="I213" s="27">
        <v>0</v>
      </c>
    </row>
    <row r="214" spans="1:9">
      <c r="A214" s="24">
        <f>A213+1</f>
        <v>46003</v>
      </c>
      <c r="B214" s="23" t="s">
        <v>13</v>
      </c>
      <c r="C214" s="25">
        <v>33011610</v>
      </c>
      <c r="D214" s="25">
        <v>2445245</v>
      </c>
      <c r="E214" s="25">
        <v>282577</v>
      </c>
      <c r="F214" s="25">
        <v>651458</v>
      </c>
      <c r="G214" s="25">
        <v>36390890</v>
      </c>
      <c r="H214" s="26">
        <v>15.47</v>
      </c>
      <c r="I214" s="27">
        <v>0</v>
      </c>
    </row>
    <row r="215" spans="1:9">
      <c r="A215" s="24">
        <f>A212+1</f>
        <v>46003</v>
      </c>
      <c r="B215" s="23" t="s">
        <v>26</v>
      </c>
      <c r="C215" s="25">
        <v>595025</v>
      </c>
      <c r="D215" s="25">
        <v>56714</v>
      </c>
      <c r="E215" s="25">
        <v>86</v>
      </c>
      <c r="F215" s="25">
        <v>5762</v>
      </c>
      <c r="G215" s="25">
        <v>657587</v>
      </c>
      <c r="H215" s="26">
        <v>0.16</v>
      </c>
      <c r="I215" s="27">
        <v>0</v>
      </c>
    </row>
    <row r="216" spans="1:9">
      <c r="A216" s="24">
        <f>A213+1</f>
        <v>46003</v>
      </c>
      <c r="B216" s="23" t="s">
        <v>19</v>
      </c>
      <c r="C216" s="25">
        <f>SUM(C214:C215)</f>
        <v>33606635</v>
      </c>
      <c r="D216" s="25">
        <f t="shared" ref="D216:G216" si="6">SUM(D214:D215)</f>
        <v>2501959</v>
      </c>
      <c r="E216" s="25">
        <f t="shared" si="6"/>
        <v>282663</v>
      </c>
      <c r="F216" s="25">
        <f t="shared" si="6"/>
        <v>657220</v>
      </c>
      <c r="G216" s="25">
        <f t="shared" si="6"/>
        <v>37048477</v>
      </c>
      <c r="H216" s="26">
        <v>15.63</v>
      </c>
      <c r="I216" s="27">
        <v>0</v>
      </c>
    </row>
    <row r="217" spans="1:9">
      <c r="A217" s="24">
        <f>A216+1</f>
        <v>46004</v>
      </c>
      <c r="B217" s="23" t="s">
        <v>13</v>
      </c>
      <c r="C217" s="25">
        <v>33011610</v>
      </c>
      <c r="D217" s="25">
        <v>2445245</v>
      </c>
      <c r="E217" s="25">
        <v>282577</v>
      </c>
      <c r="F217" s="25">
        <v>651458</v>
      </c>
      <c r="G217" s="25">
        <v>36390890</v>
      </c>
      <c r="H217" s="26">
        <v>15.47</v>
      </c>
      <c r="I217" s="27">
        <v>0</v>
      </c>
    </row>
    <row r="218" spans="1:9">
      <c r="A218" s="24">
        <f>A215+1</f>
        <v>46004</v>
      </c>
      <c r="B218" s="23" t="s">
        <v>26</v>
      </c>
      <c r="C218" s="25">
        <v>595025</v>
      </c>
      <c r="D218" s="25">
        <v>56714</v>
      </c>
      <c r="E218" s="25">
        <v>86</v>
      </c>
      <c r="F218" s="25">
        <v>5762</v>
      </c>
      <c r="G218" s="25">
        <v>657587</v>
      </c>
      <c r="H218" s="26">
        <v>0.16</v>
      </c>
      <c r="I218" s="27">
        <v>0</v>
      </c>
    </row>
    <row r="219" spans="1:9">
      <c r="A219" s="24">
        <f>A216+1</f>
        <v>46004</v>
      </c>
      <c r="B219" s="23" t="s">
        <v>19</v>
      </c>
      <c r="C219" s="25">
        <f>SUM(C217:C218)</f>
        <v>33606635</v>
      </c>
      <c r="D219" s="25">
        <f t="shared" ref="D219:G219" si="7">SUM(D217:D218)</f>
        <v>2501959</v>
      </c>
      <c r="E219" s="25">
        <f t="shared" si="7"/>
        <v>282663</v>
      </c>
      <c r="F219" s="25">
        <f t="shared" si="7"/>
        <v>657220</v>
      </c>
      <c r="G219" s="25">
        <f t="shared" si="7"/>
        <v>37048477</v>
      </c>
      <c r="H219" s="26">
        <v>15.63</v>
      </c>
      <c r="I219" s="27">
        <v>0</v>
      </c>
    </row>
    <row r="220" spans="1:9">
      <c r="A220" s="24">
        <f>A219+1</f>
        <v>46005</v>
      </c>
      <c r="B220" s="23" t="s">
        <v>13</v>
      </c>
      <c r="C220" s="25">
        <v>33011610</v>
      </c>
      <c r="D220" s="25">
        <v>2445245</v>
      </c>
      <c r="E220" s="25">
        <v>282577</v>
      </c>
      <c r="F220" s="25">
        <v>651458</v>
      </c>
      <c r="G220" s="25">
        <v>36390890</v>
      </c>
      <c r="H220" s="26">
        <v>15.47</v>
      </c>
      <c r="I220" s="27">
        <v>0</v>
      </c>
    </row>
    <row r="221" spans="1:9">
      <c r="A221" s="24">
        <f>A218+1</f>
        <v>46005</v>
      </c>
      <c r="B221" s="23" t="s">
        <v>26</v>
      </c>
      <c r="C221" s="25">
        <v>595025</v>
      </c>
      <c r="D221" s="25">
        <v>56714</v>
      </c>
      <c r="E221" s="25">
        <v>86</v>
      </c>
      <c r="F221" s="25">
        <v>5762</v>
      </c>
      <c r="G221" s="25">
        <v>657587</v>
      </c>
      <c r="H221" s="26">
        <v>0.16</v>
      </c>
      <c r="I221" s="27">
        <v>0</v>
      </c>
    </row>
    <row r="222" spans="1:9">
      <c r="A222" s="24">
        <f>A219+1</f>
        <v>46005</v>
      </c>
      <c r="B222" s="23" t="s">
        <v>19</v>
      </c>
      <c r="C222" s="25">
        <f>SUM(C220:C221)</f>
        <v>33606635</v>
      </c>
      <c r="D222" s="25">
        <f t="shared" ref="D222:G222" si="8">SUM(D220:D221)</f>
        <v>2501959</v>
      </c>
      <c r="E222" s="25">
        <f t="shared" si="8"/>
        <v>282663</v>
      </c>
      <c r="F222" s="25">
        <f t="shared" si="8"/>
        <v>657220</v>
      </c>
      <c r="G222" s="25">
        <f t="shared" si="8"/>
        <v>37048477</v>
      </c>
      <c r="H222" s="26">
        <f>SUM(H220:H221)</f>
        <v>15.63</v>
      </c>
      <c r="I222" s="27">
        <v>0</v>
      </c>
    </row>
    <row r="223" spans="1:9">
      <c r="A223" s="24">
        <f>A222+1</f>
        <v>46006</v>
      </c>
      <c r="B223" s="23" t="s">
        <v>13</v>
      </c>
      <c r="C223" s="25">
        <v>33108378</v>
      </c>
      <c r="D223" s="25">
        <v>2464428</v>
      </c>
      <c r="E223" s="25">
        <v>283379</v>
      </c>
      <c r="F223" s="25">
        <v>655568</v>
      </c>
      <c r="G223" s="25">
        <v>36511753</v>
      </c>
      <c r="H223" s="26">
        <v>15.54</v>
      </c>
      <c r="I223" s="27">
        <v>0</v>
      </c>
    </row>
    <row r="224" spans="1:9">
      <c r="A224" s="24">
        <f>A221+1</f>
        <v>46006</v>
      </c>
      <c r="B224" s="23" t="s">
        <v>26</v>
      </c>
      <c r="C224" s="25">
        <v>595025</v>
      </c>
      <c r="D224" s="25">
        <v>56714</v>
      </c>
      <c r="E224" s="25">
        <v>86</v>
      </c>
      <c r="F224" s="25">
        <v>5762</v>
      </c>
      <c r="G224" s="25">
        <v>657587</v>
      </c>
      <c r="H224" s="26">
        <v>0.16</v>
      </c>
      <c r="I224" s="27">
        <v>0</v>
      </c>
    </row>
    <row r="225" spans="1:9">
      <c r="A225" s="24">
        <f>A222+1</f>
        <v>46006</v>
      </c>
      <c r="B225" s="23" t="s">
        <v>19</v>
      </c>
      <c r="C225" s="25">
        <f>SUM(C223:C224)</f>
        <v>33703403</v>
      </c>
      <c r="D225" s="25">
        <f t="shared" ref="D225:G225" si="9">SUM(D223:D224)</f>
        <v>2521142</v>
      </c>
      <c r="E225" s="25">
        <f t="shared" si="9"/>
        <v>283465</v>
      </c>
      <c r="F225" s="25">
        <f t="shared" si="9"/>
        <v>661330</v>
      </c>
      <c r="G225" s="25">
        <f t="shared" si="9"/>
        <v>37169340</v>
      </c>
      <c r="H225" s="26">
        <f>SUM(H223:H224)</f>
        <v>15.7</v>
      </c>
      <c r="I225" s="27">
        <v>0</v>
      </c>
    </row>
    <row r="226" spans="1:9">
      <c r="A226" s="24">
        <f>A225+1</f>
        <v>46007</v>
      </c>
      <c r="B226" s="23" t="s">
        <v>13</v>
      </c>
      <c r="C226" s="25">
        <v>39175066</v>
      </c>
      <c r="D226" s="25">
        <v>2755203</v>
      </c>
      <c r="E226" s="25">
        <v>317999</v>
      </c>
      <c r="F226" s="25">
        <v>719178</v>
      </c>
      <c r="G226" s="25">
        <v>42967446</v>
      </c>
      <c r="H226" s="26">
        <v>17.850000000000001</v>
      </c>
      <c r="I226" s="27">
        <v>0</v>
      </c>
    </row>
    <row r="227" spans="1:9">
      <c r="A227" s="24">
        <f>A224+1</f>
        <v>46007</v>
      </c>
      <c r="B227" s="23" t="s">
        <v>26</v>
      </c>
      <c r="C227" s="25">
        <v>595025</v>
      </c>
      <c r="D227" s="25">
        <v>56714</v>
      </c>
      <c r="E227" s="25">
        <v>86</v>
      </c>
      <c r="F227" s="25">
        <v>5762</v>
      </c>
      <c r="G227" s="25">
        <v>657587</v>
      </c>
      <c r="H227" s="26">
        <v>0.16</v>
      </c>
      <c r="I227" s="27">
        <v>0</v>
      </c>
    </row>
    <row r="228" spans="1:9">
      <c r="A228" s="24">
        <f>A225+1</f>
        <v>46007</v>
      </c>
      <c r="B228" s="23" t="s">
        <v>19</v>
      </c>
      <c r="C228" s="25">
        <f>SUM(C226:C227)</f>
        <v>39770091</v>
      </c>
      <c r="D228" s="25">
        <f t="shared" ref="D228:G228" si="10">SUM(D226:D227)</f>
        <v>2811917</v>
      </c>
      <c r="E228" s="25">
        <f t="shared" si="10"/>
        <v>318085</v>
      </c>
      <c r="F228" s="25">
        <f t="shared" si="10"/>
        <v>724940</v>
      </c>
      <c r="G228" s="25">
        <f t="shared" si="10"/>
        <v>43625033</v>
      </c>
      <c r="H228" s="26">
        <f>SUM(H226:H227)</f>
        <v>18.010000000000002</v>
      </c>
      <c r="I228" s="27">
        <v>0</v>
      </c>
    </row>
    <row r="229" spans="1:9">
      <c r="A229" s="24">
        <f>A228+1</f>
        <v>46008</v>
      </c>
      <c r="B229" s="23" t="s">
        <v>13</v>
      </c>
      <c r="C229" s="25">
        <v>39175066</v>
      </c>
      <c r="D229" s="25">
        <v>2755203</v>
      </c>
      <c r="E229" s="25">
        <v>317999</v>
      </c>
      <c r="F229" s="25">
        <v>719178</v>
      </c>
      <c r="G229" s="25">
        <v>42967446</v>
      </c>
      <c r="H229" s="26">
        <v>17.850000000000001</v>
      </c>
      <c r="I229" s="27">
        <v>0</v>
      </c>
    </row>
    <row r="230" spans="1:9">
      <c r="A230" s="24">
        <f>A227+1</f>
        <v>46008</v>
      </c>
      <c r="B230" s="23" t="s">
        <v>26</v>
      </c>
      <c r="C230" s="25">
        <v>595025</v>
      </c>
      <c r="D230" s="25">
        <v>56714</v>
      </c>
      <c r="E230" s="25">
        <v>86</v>
      </c>
      <c r="F230" s="25">
        <v>5762</v>
      </c>
      <c r="G230" s="25">
        <v>657587</v>
      </c>
      <c r="H230" s="26">
        <v>0.16</v>
      </c>
      <c r="I230" s="27">
        <v>0</v>
      </c>
    </row>
    <row r="231" spans="1:9">
      <c r="A231" s="24">
        <f>A228+1</f>
        <v>46008</v>
      </c>
      <c r="B231" s="23" t="s">
        <v>19</v>
      </c>
      <c r="C231" s="25">
        <f>SUM(C229:C230)</f>
        <v>39770091</v>
      </c>
      <c r="D231" s="25">
        <f t="shared" ref="D231:G231" si="11">SUM(D229:D230)</f>
        <v>2811917</v>
      </c>
      <c r="E231" s="25">
        <f t="shared" si="11"/>
        <v>318085</v>
      </c>
      <c r="F231" s="25">
        <f t="shared" si="11"/>
        <v>724940</v>
      </c>
      <c r="G231" s="25">
        <f t="shared" si="11"/>
        <v>43625033</v>
      </c>
      <c r="H231" s="26">
        <f>SUM(H229:H230)</f>
        <v>18.010000000000002</v>
      </c>
      <c r="I231" s="27">
        <v>0</v>
      </c>
    </row>
    <row r="232" spans="1:9">
      <c r="A232" s="24">
        <f>A231+1</f>
        <v>46009</v>
      </c>
      <c r="B232" s="23" t="s">
        <v>19</v>
      </c>
      <c r="C232" s="25">
        <v>0</v>
      </c>
      <c r="D232" s="25">
        <v>0</v>
      </c>
      <c r="E232" s="25">
        <v>0</v>
      </c>
      <c r="F232" s="25">
        <v>0</v>
      </c>
      <c r="G232" s="25">
        <v>0</v>
      </c>
      <c r="H232" s="26">
        <v>0</v>
      </c>
      <c r="I232" s="27">
        <v>0</v>
      </c>
    </row>
    <row r="233" spans="1:9">
      <c r="A233" s="24">
        <f>A232+1</f>
        <v>46010</v>
      </c>
      <c r="B233" s="23" t="s">
        <v>19</v>
      </c>
      <c r="C233" s="25">
        <v>0</v>
      </c>
      <c r="D233" s="25">
        <v>0</v>
      </c>
      <c r="E233" s="25">
        <v>0</v>
      </c>
      <c r="F233" s="25">
        <v>0</v>
      </c>
      <c r="G233" s="25">
        <v>0</v>
      </c>
      <c r="H233" s="26">
        <v>0</v>
      </c>
      <c r="I233" s="27">
        <v>0</v>
      </c>
    </row>
    <row r="234" spans="1:9">
      <c r="A234" s="24">
        <f>A233+1</f>
        <v>46011</v>
      </c>
      <c r="B234" s="23" t="s">
        <v>13</v>
      </c>
      <c r="C234" s="25">
        <v>232654</v>
      </c>
      <c r="D234" s="25">
        <v>44534</v>
      </c>
      <c r="E234" s="25">
        <v>7580</v>
      </c>
      <c r="F234" s="25">
        <v>15563</v>
      </c>
      <c r="G234" s="25">
        <v>300331</v>
      </c>
      <c r="H234" s="26">
        <v>0.22</v>
      </c>
      <c r="I234" s="27">
        <v>0</v>
      </c>
    </row>
    <row r="235" spans="1:9">
      <c r="A235" s="24">
        <f>A233+1</f>
        <v>46011</v>
      </c>
      <c r="B235" s="23" t="s">
        <v>19</v>
      </c>
      <c r="C235" s="25">
        <v>232654</v>
      </c>
      <c r="D235" s="25">
        <v>44534</v>
      </c>
      <c r="E235" s="25">
        <v>7580</v>
      </c>
      <c r="F235" s="25">
        <v>15563</v>
      </c>
      <c r="G235" s="25">
        <v>300331</v>
      </c>
      <c r="H235" s="26">
        <v>0.22</v>
      </c>
      <c r="I235" s="27">
        <v>0</v>
      </c>
    </row>
    <row r="236" spans="1:9">
      <c r="A236" s="24">
        <f>A235+1</f>
        <v>46012</v>
      </c>
      <c r="B236" s="23" t="s">
        <v>13</v>
      </c>
      <c r="C236" s="25">
        <v>5190841</v>
      </c>
      <c r="D236" s="25">
        <v>316020</v>
      </c>
      <c r="E236" s="25">
        <v>60400</v>
      </c>
      <c r="F236" s="25">
        <v>76764</v>
      </c>
      <c r="G236" s="25">
        <v>5644025</v>
      </c>
      <c r="H236" s="26">
        <v>2.2200000000000002</v>
      </c>
      <c r="I236" s="27">
        <v>0</v>
      </c>
    </row>
    <row r="237" spans="1:9">
      <c r="A237" s="24">
        <f>A235+1</f>
        <v>46012</v>
      </c>
      <c r="B237" s="23" t="s">
        <v>19</v>
      </c>
      <c r="C237" s="25">
        <v>5190841</v>
      </c>
      <c r="D237" s="25">
        <v>316020</v>
      </c>
      <c r="E237" s="25">
        <v>60400</v>
      </c>
      <c r="F237" s="25">
        <v>76764</v>
      </c>
      <c r="G237" s="25">
        <v>5644025</v>
      </c>
      <c r="H237" s="26">
        <v>2.2200000000000002</v>
      </c>
      <c r="I237" s="27">
        <v>0</v>
      </c>
    </row>
    <row r="238" spans="1:9">
      <c r="A238" s="24">
        <f>A237+1</f>
        <v>46013</v>
      </c>
      <c r="B238" s="23" t="s">
        <v>13</v>
      </c>
      <c r="C238" s="25">
        <v>5248953</v>
      </c>
      <c r="D238" s="25">
        <v>330106</v>
      </c>
      <c r="E238" s="25">
        <v>60400</v>
      </c>
      <c r="F238" s="25">
        <v>79817</v>
      </c>
      <c r="G238" s="25">
        <v>5719276</v>
      </c>
      <c r="H238" s="26">
        <v>2.27</v>
      </c>
      <c r="I238" s="27">
        <v>0</v>
      </c>
    </row>
    <row r="239" spans="1:9">
      <c r="A239" s="24">
        <f>A237+1</f>
        <v>46013</v>
      </c>
      <c r="B239" s="23" t="s">
        <v>19</v>
      </c>
      <c r="C239" s="25">
        <v>5248953</v>
      </c>
      <c r="D239" s="25">
        <v>330106</v>
      </c>
      <c r="E239" s="25">
        <v>60400</v>
      </c>
      <c r="F239" s="25">
        <v>79817</v>
      </c>
      <c r="G239" s="25">
        <v>5719276</v>
      </c>
      <c r="H239" s="26">
        <v>2.27</v>
      </c>
      <c r="I239" s="27">
        <v>0</v>
      </c>
    </row>
    <row r="240" spans="1:9">
      <c r="A240" s="24">
        <f>A239+1</f>
        <v>46014</v>
      </c>
      <c r="B240" s="23" t="s">
        <v>13</v>
      </c>
      <c r="C240" s="25">
        <v>5321401</v>
      </c>
      <c r="D240" s="25">
        <v>342163</v>
      </c>
      <c r="E240" s="25">
        <v>60400</v>
      </c>
      <c r="F240" s="25">
        <v>81918</v>
      </c>
      <c r="G240" s="25">
        <v>5805882</v>
      </c>
      <c r="H240" s="26">
        <v>2.3199999999999998</v>
      </c>
      <c r="I240" s="27">
        <v>0</v>
      </c>
    </row>
    <row r="241" spans="1:9">
      <c r="A241" s="24">
        <f>A239+1</f>
        <v>46014</v>
      </c>
      <c r="B241" s="23" t="s">
        <v>19</v>
      </c>
      <c r="C241" s="25">
        <v>5321401</v>
      </c>
      <c r="D241" s="25">
        <v>342163</v>
      </c>
      <c r="E241" s="25">
        <v>60400</v>
      </c>
      <c r="F241" s="25">
        <v>81918</v>
      </c>
      <c r="G241" s="25">
        <v>5805882</v>
      </c>
      <c r="H241" s="26">
        <v>2.3199999999999998</v>
      </c>
      <c r="I241" s="27">
        <v>0</v>
      </c>
    </row>
    <row r="242" spans="1:9">
      <c r="A242" s="24">
        <f>A241+1</f>
        <v>46015</v>
      </c>
      <c r="B242" s="23" t="s">
        <v>13</v>
      </c>
      <c r="C242" s="25">
        <v>6280633</v>
      </c>
      <c r="D242" s="25">
        <v>433191</v>
      </c>
      <c r="E242" s="25">
        <v>60400</v>
      </c>
      <c r="F242" s="25">
        <v>101121</v>
      </c>
      <c r="G242" s="25">
        <v>6875345</v>
      </c>
      <c r="H242" s="26">
        <v>2.78</v>
      </c>
      <c r="I242" s="27">
        <v>0</v>
      </c>
    </row>
    <row r="243" spans="1:9">
      <c r="A243" s="24">
        <f>A241+1</f>
        <v>46015</v>
      </c>
      <c r="B243" s="23" t="s">
        <v>19</v>
      </c>
      <c r="C243" s="25">
        <v>6280633</v>
      </c>
      <c r="D243" s="25">
        <v>433191</v>
      </c>
      <c r="E243" s="25">
        <v>60400</v>
      </c>
      <c r="F243" s="25">
        <v>101121</v>
      </c>
      <c r="G243" s="25">
        <v>6875345</v>
      </c>
      <c r="H243" s="26">
        <v>2.78</v>
      </c>
      <c r="I243" s="27">
        <v>0</v>
      </c>
    </row>
    <row r="244" spans="1:9">
      <c r="A244" s="24">
        <f>A243+1</f>
        <v>46016</v>
      </c>
      <c r="B244" s="23" t="s">
        <v>13</v>
      </c>
      <c r="C244" s="25">
        <v>9993230</v>
      </c>
      <c r="D244" s="25">
        <v>709592</v>
      </c>
      <c r="E244" s="25">
        <v>87172</v>
      </c>
      <c r="F244" s="25">
        <v>157644</v>
      </c>
      <c r="G244" s="25">
        <v>10947638</v>
      </c>
      <c r="H244" s="26">
        <v>4.43</v>
      </c>
      <c r="I244" s="27">
        <v>0</v>
      </c>
    </row>
    <row r="245" spans="1:9">
      <c r="A245" s="24">
        <f>A243+1</f>
        <v>46016</v>
      </c>
      <c r="B245" s="23" t="s">
        <v>19</v>
      </c>
      <c r="C245" s="25">
        <v>9993230</v>
      </c>
      <c r="D245" s="25">
        <v>709592</v>
      </c>
      <c r="E245" s="25">
        <v>87172</v>
      </c>
      <c r="F245" s="25">
        <v>157644</v>
      </c>
      <c r="G245" s="25">
        <v>10947638</v>
      </c>
      <c r="H245" s="26">
        <v>4.43</v>
      </c>
      <c r="I245" s="27">
        <v>0</v>
      </c>
    </row>
    <row r="246" spans="1:9">
      <c r="A246" s="24">
        <f>A245+1</f>
        <v>46017</v>
      </c>
      <c r="B246" s="23" t="s">
        <v>13</v>
      </c>
      <c r="C246" s="25">
        <v>9993230</v>
      </c>
      <c r="D246" s="25">
        <v>709592</v>
      </c>
      <c r="E246" s="25">
        <v>87172</v>
      </c>
      <c r="F246" s="25">
        <v>157644</v>
      </c>
      <c r="G246" s="25">
        <v>10947638</v>
      </c>
      <c r="H246" s="26">
        <v>4.43</v>
      </c>
      <c r="I246" s="27">
        <v>0</v>
      </c>
    </row>
    <row r="247" spans="1:9">
      <c r="A247" s="24">
        <f>A245+1</f>
        <v>46017</v>
      </c>
      <c r="B247" s="23" t="s">
        <v>19</v>
      </c>
      <c r="C247" s="25">
        <v>9993230</v>
      </c>
      <c r="D247" s="25">
        <v>709592</v>
      </c>
      <c r="E247" s="25">
        <v>87172</v>
      </c>
      <c r="F247" s="25">
        <v>157644</v>
      </c>
      <c r="G247" s="25">
        <v>10947638</v>
      </c>
      <c r="H247" s="26">
        <v>4.43</v>
      </c>
      <c r="I247" s="27">
        <v>0</v>
      </c>
    </row>
    <row r="248" spans="1:9">
      <c r="A248" s="24">
        <f>A247+1</f>
        <v>46018</v>
      </c>
      <c r="B248" s="23" t="s">
        <v>13</v>
      </c>
      <c r="C248" s="25">
        <v>9993230</v>
      </c>
      <c r="D248" s="25">
        <v>709592</v>
      </c>
      <c r="E248" s="25">
        <v>87172</v>
      </c>
      <c r="F248" s="25">
        <v>157644</v>
      </c>
      <c r="G248" s="25">
        <v>10947638</v>
      </c>
      <c r="H248" s="26">
        <v>4.43</v>
      </c>
      <c r="I248" s="27">
        <v>0</v>
      </c>
    </row>
    <row r="249" spans="1:9">
      <c r="A249" s="24">
        <f>A247+1</f>
        <v>46018</v>
      </c>
      <c r="B249" s="23" t="s">
        <v>19</v>
      </c>
      <c r="C249" s="25">
        <v>9993230</v>
      </c>
      <c r="D249" s="25">
        <v>709592</v>
      </c>
      <c r="E249" s="25">
        <v>87172</v>
      </c>
      <c r="F249" s="25">
        <v>157644</v>
      </c>
      <c r="G249" s="25">
        <v>10947638</v>
      </c>
      <c r="H249" s="26">
        <v>4.43</v>
      </c>
      <c r="I249" s="27">
        <v>0</v>
      </c>
    </row>
    <row r="250" spans="1:9">
      <c r="A250" s="24">
        <f>A249+1</f>
        <v>46019</v>
      </c>
      <c r="B250" s="23" t="s">
        <v>13</v>
      </c>
      <c r="C250" s="25">
        <v>10020110</v>
      </c>
      <c r="D250" s="25">
        <v>713062</v>
      </c>
      <c r="E250" s="25">
        <v>87172</v>
      </c>
      <c r="F250" s="25">
        <v>159038</v>
      </c>
      <c r="G250" s="25">
        <v>10979382</v>
      </c>
      <c r="H250" s="26">
        <v>4.45</v>
      </c>
      <c r="I250" s="27">
        <v>0</v>
      </c>
    </row>
    <row r="251" spans="1:9">
      <c r="A251" s="24">
        <f>A249+1</f>
        <v>46019</v>
      </c>
      <c r="B251" s="23" t="s">
        <v>19</v>
      </c>
      <c r="C251" s="25">
        <v>10020110</v>
      </c>
      <c r="D251" s="25">
        <v>713062</v>
      </c>
      <c r="E251" s="25">
        <v>87172</v>
      </c>
      <c r="F251" s="25">
        <v>159038</v>
      </c>
      <c r="G251" s="25">
        <v>10979382</v>
      </c>
      <c r="H251" s="26">
        <v>4.45</v>
      </c>
      <c r="I251" s="27">
        <v>0</v>
      </c>
    </row>
    <row r="252" spans="1:9">
      <c r="A252" s="24">
        <f>A251+1</f>
        <v>46020</v>
      </c>
      <c r="B252" s="23" t="s">
        <v>13</v>
      </c>
      <c r="C252" s="25">
        <v>10817550</v>
      </c>
      <c r="D252" s="25">
        <v>779066</v>
      </c>
      <c r="E252" s="25">
        <v>87236</v>
      </c>
      <c r="F252" s="25">
        <v>170737</v>
      </c>
      <c r="G252" s="25">
        <v>11854589</v>
      </c>
      <c r="H252" s="26">
        <v>4.79</v>
      </c>
      <c r="I252" s="27">
        <v>0</v>
      </c>
    </row>
    <row r="253" spans="1:9">
      <c r="A253" s="24">
        <f>A251+1</f>
        <v>46020</v>
      </c>
      <c r="B253" s="23" t="s">
        <v>19</v>
      </c>
      <c r="C253" s="25">
        <v>10817550</v>
      </c>
      <c r="D253" s="25">
        <v>779066</v>
      </c>
      <c r="E253" s="25">
        <v>87236</v>
      </c>
      <c r="F253" s="25">
        <v>170737</v>
      </c>
      <c r="G253" s="25">
        <v>11854589</v>
      </c>
      <c r="H253" s="26">
        <v>4.79</v>
      </c>
      <c r="I253" s="27">
        <v>0</v>
      </c>
    </row>
    <row r="254" spans="1:9">
      <c r="A254" s="24">
        <f>A253+1</f>
        <v>46021</v>
      </c>
      <c r="B254" s="23" t="s">
        <v>13</v>
      </c>
      <c r="C254" s="25">
        <v>12158222</v>
      </c>
      <c r="D254" s="25">
        <v>947070</v>
      </c>
      <c r="E254" s="25">
        <v>87236</v>
      </c>
      <c r="F254" s="25">
        <v>190025</v>
      </c>
      <c r="G254" s="25">
        <v>13382553</v>
      </c>
      <c r="H254" s="26">
        <v>5.45</v>
      </c>
      <c r="I254" s="27">
        <v>0</v>
      </c>
    </row>
    <row r="255" spans="1:9">
      <c r="A255" s="24">
        <f>A253+1</f>
        <v>46021</v>
      </c>
      <c r="B255" s="23" t="s">
        <v>19</v>
      </c>
      <c r="C255" s="25">
        <v>12158222</v>
      </c>
      <c r="D255" s="25">
        <v>947070</v>
      </c>
      <c r="E255" s="25">
        <v>87236</v>
      </c>
      <c r="F255" s="25">
        <v>190025</v>
      </c>
      <c r="G255" s="25">
        <v>13382553</v>
      </c>
      <c r="H255" s="26">
        <v>5.45</v>
      </c>
      <c r="I255" s="27">
        <v>0</v>
      </c>
    </row>
    <row r="256" spans="1:9">
      <c r="A256" s="24">
        <f>A255+1</f>
        <v>46022</v>
      </c>
      <c r="B256" s="23" t="s">
        <v>13</v>
      </c>
      <c r="C256" s="25">
        <v>12659673</v>
      </c>
      <c r="D256" s="25">
        <v>1002964</v>
      </c>
      <c r="E256" s="25">
        <v>92519</v>
      </c>
      <c r="F256" s="25">
        <v>195569</v>
      </c>
      <c r="G256" s="25">
        <v>13950725</v>
      </c>
      <c r="H256" s="26">
        <v>5.68</v>
      </c>
      <c r="I256" s="27">
        <v>0</v>
      </c>
    </row>
    <row r="257" spans="1:9">
      <c r="A257" s="24">
        <f>A255+1</f>
        <v>46022</v>
      </c>
      <c r="B257" s="23" t="s">
        <v>19</v>
      </c>
      <c r="C257" s="25">
        <v>12659673</v>
      </c>
      <c r="D257" s="25">
        <v>1002964</v>
      </c>
      <c r="E257" s="25">
        <v>92519</v>
      </c>
      <c r="F257" s="25">
        <v>195569</v>
      </c>
      <c r="G257" s="25">
        <v>13950725</v>
      </c>
      <c r="H257" s="26">
        <v>5.68</v>
      </c>
      <c r="I257" s="27">
        <v>0</v>
      </c>
    </row>
    <row r="258" spans="1:9">
      <c r="A258" s="24">
        <f>A257+1</f>
        <v>46023</v>
      </c>
      <c r="B258" s="23" t="s">
        <v>13</v>
      </c>
      <c r="C258" s="25">
        <v>12659673</v>
      </c>
      <c r="D258" s="25">
        <v>1002964</v>
      </c>
      <c r="E258" s="25">
        <v>92519</v>
      </c>
      <c r="F258" s="25">
        <v>195569</v>
      </c>
      <c r="G258" s="25">
        <v>13950725</v>
      </c>
      <c r="H258" s="26">
        <v>5.68</v>
      </c>
      <c r="I258" s="27">
        <v>0</v>
      </c>
    </row>
    <row r="259" spans="1:9">
      <c r="A259" s="24">
        <f>A257+1</f>
        <v>46023</v>
      </c>
      <c r="B259" s="23" t="s">
        <v>19</v>
      </c>
      <c r="C259" s="25">
        <v>12659673</v>
      </c>
      <c r="D259" s="25">
        <v>1002964</v>
      </c>
      <c r="E259" s="25">
        <v>92519</v>
      </c>
      <c r="F259" s="25">
        <v>195569</v>
      </c>
      <c r="G259" s="25">
        <v>13950725</v>
      </c>
      <c r="H259" s="26">
        <v>5.68</v>
      </c>
      <c r="I259" s="27">
        <v>0</v>
      </c>
    </row>
    <row r="260" spans="1:9">
      <c r="A260" s="24">
        <f>A259+1</f>
        <v>46024</v>
      </c>
      <c r="B260" s="23" t="s">
        <v>13</v>
      </c>
      <c r="C260" s="25">
        <v>15502297</v>
      </c>
      <c r="D260" s="25">
        <v>1154053</v>
      </c>
      <c r="E260" s="25">
        <v>92519</v>
      </c>
      <c r="F260" s="25">
        <v>218172</v>
      </c>
      <c r="G260" s="25">
        <v>16967041</v>
      </c>
      <c r="H260" s="26">
        <v>6.72</v>
      </c>
      <c r="I260" s="27">
        <v>0</v>
      </c>
    </row>
    <row r="261" spans="1:9">
      <c r="A261" s="24">
        <f>A259+1</f>
        <v>46024</v>
      </c>
      <c r="B261" s="23" t="s">
        <v>19</v>
      </c>
      <c r="C261" s="25">
        <v>15502297</v>
      </c>
      <c r="D261" s="25">
        <v>1154053</v>
      </c>
      <c r="E261" s="25">
        <v>92519</v>
      </c>
      <c r="F261" s="25">
        <v>218172</v>
      </c>
      <c r="G261" s="25">
        <v>16967041</v>
      </c>
      <c r="H261" s="26">
        <v>6.72</v>
      </c>
      <c r="I261" s="27">
        <v>0</v>
      </c>
    </row>
    <row r="262" spans="1:9">
      <c r="A262" s="24">
        <f>A261+1</f>
        <v>46025</v>
      </c>
      <c r="B262" s="23" t="s">
        <v>13</v>
      </c>
      <c r="C262" s="25">
        <v>18295001</v>
      </c>
      <c r="D262" s="25">
        <v>1376159</v>
      </c>
      <c r="E262" s="25">
        <v>94491</v>
      </c>
      <c r="F262" s="25">
        <v>246493</v>
      </c>
      <c r="G262" s="25">
        <v>20012144</v>
      </c>
      <c r="H262" s="26">
        <v>7.88</v>
      </c>
      <c r="I262" s="27">
        <v>0</v>
      </c>
    </row>
    <row r="263" spans="1:9">
      <c r="A263" s="24">
        <f>A261+1</f>
        <v>46025</v>
      </c>
      <c r="B263" s="23" t="s">
        <v>19</v>
      </c>
      <c r="C263" s="25">
        <v>18295001</v>
      </c>
      <c r="D263" s="25">
        <v>1376159</v>
      </c>
      <c r="E263" s="25">
        <v>94491</v>
      </c>
      <c r="F263" s="25">
        <v>246493</v>
      </c>
      <c r="G263" s="25">
        <v>20012144</v>
      </c>
      <c r="H263" s="26">
        <v>7.88</v>
      </c>
      <c r="I263" s="27">
        <v>0</v>
      </c>
    </row>
    <row r="264" spans="1:9">
      <c r="A264" s="24">
        <f>A263+1</f>
        <v>46026</v>
      </c>
      <c r="B264" s="23" t="s">
        <v>13</v>
      </c>
      <c r="C264" s="25">
        <v>24093080</v>
      </c>
      <c r="D264" s="25">
        <v>1808363</v>
      </c>
      <c r="E264" s="25">
        <v>235082</v>
      </c>
      <c r="F264" s="25">
        <v>342699</v>
      </c>
      <c r="G264" s="25">
        <v>26479224</v>
      </c>
      <c r="H264" s="26">
        <v>10.63</v>
      </c>
      <c r="I264" s="27">
        <v>0</v>
      </c>
    </row>
    <row r="265" spans="1:9">
      <c r="A265" s="24">
        <f>A263+1</f>
        <v>46026</v>
      </c>
      <c r="B265" s="23" t="s">
        <v>19</v>
      </c>
      <c r="C265" s="25">
        <v>24093080</v>
      </c>
      <c r="D265" s="25">
        <v>1808363</v>
      </c>
      <c r="E265" s="25">
        <v>235082</v>
      </c>
      <c r="F265" s="25">
        <v>342699</v>
      </c>
      <c r="G265" s="25">
        <v>26479224</v>
      </c>
      <c r="H265" s="26">
        <v>10.63</v>
      </c>
      <c r="I265" s="27">
        <v>0</v>
      </c>
    </row>
    <row r="266" spans="1:9">
      <c r="A266" s="24">
        <f>A265+1</f>
        <v>46027</v>
      </c>
      <c r="B266" s="23" t="s">
        <v>13</v>
      </c>
      <c r="C266" s="25">
        <v>29576550</v>
      </c>
      <c r="D266" s="25">
        <v>2347759</v>
      </c>
      <c r="E266" s="25">
        <v>335496</v>
      </c>
      <c r="F266" s="25">
        <v>384835</v>
      </c>
      <c r="G266" s="25">
        <v>32644640</v>
      </c>
      <c r="H266" s="26">
        <v>13.05</v>
      </c>
      <c r="I266" s="27">
        <v>0</v>
      </c>
    </row>
    <row r="267" spans="1:9">
      <c r="A267" s="24">
        <f>A265+1</f>
        <v>46027</v>
      </c>
      <c r="B267" s="23" t="s">
        <v>19</v>
      </c>
      <c r="C267" s="25">
        <v>29576550</v>
      </c>
      <c r="D267" s="25">
        <v>2347759</v>
      </c>
      <c r="E267" s="25">
        <v>335496</v>
      </c>
      <c r="F267" s="25">
        <v>384835</v>
      </c>
      <c r="G267" s="25">
        <v>32644640</v>
      </c>
      <c r="H267" s="26">
        <v>13.05</v>
      </c>
      <c r="I267" s="27">
        <v>0</v>
      </c>
    </row>
    <row r="268" spans="1:9">
      <c r="A268" s="24">
        <f>A267+1</f>
        <v>46028</v>
      </c>
      <c r="B268" s="23" t="s">
        <v>13</v>
      </c>
      <c r="C268" s="25">
        <v>38658643</v>
      </c>
      <c r="D268" s="25">
        <v>3239707</v>
      </c>
      <c r="E268" s="25">
        <v>352818</v>
      </c>
      <c r="F268" s="25">
        <v>510409</v>
      </c>
      <c r="G268" s="25">
        <v>42761577</v>
      </c>
      <c r="H268" s="26">
        <v>17.22</v>
      </c>
      <c r="I268" s="27">
        <v>0</v>
      </c>
    </row>
    <row r="269" spans="1:9">
      <c r="A269" s="24">
        <f>A267+1</f>
        <v>46028</v>
      </c>
      <c r="B269" s="23" t="s">
        <v>19</v>
      </c>
      <c r="C269" s="25">
        <v>38658643</v>
      </c>
      <c r="D269" s="25">
        <v>3239707</v>
      </c>
      <c r="E269" s="25">
        <v>352818</v>
      </c>
      <c r="F269" s="25">
        <v>510409</v>
      </c>
      <c r="G269" s="25">
        <v>42761577</v>
      </c>
      <c r="H269" s="26">
        <v>17.22</v>
      </c>
      <c r="I269" s="27">
        <v>0</v>
      </c>
    </row>
    <row r="270" spans="1:9">
      <c r="A270" s="24">
        <f>A269+1</f>
        <v>46029</v>
      </c>
      <c r="B270" s="23" t="s">
        <v>13</v>
      </c>
      <c r="C270" s="25">
        <v>42766163</v>
      </c>
      <c r="D270" s="25">
        <v>3646140</v>
      </c>
      <c r="E270" s="25">
        <v>412064</v>
      </c>
      <c r="F270" s="25">
        <v>574982</v>
      </c>
      <c r="G270" s="25">
        <v>47399349</v>
      </c>
      <c r="H270" s="26">
        <v>19.21</v>
      </c>
      <c r="I270" s="27">
        <v>0</v>
      </c>
    </row>
    <row r="271" spans="1:9">
      <c r="A271" s="24">
        <f>A269+1</f>
        <v>46029</v>
      </c>
      <c r="B271" s="23" t="s">
        <v>19</v>
      </c>
      <c r="C271" s="25">
        <v>42766163</v>
      </c>
      <c r="D271" s="25">
        <v>3646140</v>
      </c>
      <c r="E271" s="25">
        <v>412064</v>
      </c>
      <c r="F271" s="25">
        <v>574982</v>
      </c>
      <c r="G271" s="25">
        <v>47399349</v>
      </c>
      <c r="H271" s="26">
        <v>19.21</v>
      </c>
      <c r="I271" s="27">
        <v>0</v>
      </c>
    </row>
  </sheetData>
  <phoneticPr fontId="3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3" activePane="bottomRight" state="frozen"/>
      <selection pane="topRight" activeCell="B1" sqref="B1"/>
      <selection pane="bottomLeft" activeCell="A2" sqref="A2"/>
      <selection pane="bottomRight" activeCell="A62" sqref="A62:XFD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3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Cursor Usageの記録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2025-04-19T10:59:01Z</dcterms:created>
  <dcterms:modified xsi:type="dcterms:W3CDTF">2026-01-08T01:54:34Z</dcterms:modified>
</cp:coreProperties>
</file>